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Olympic_Events" sheetId="2" state="visible" r:id="rId4"/>
    <sheet name="Competitions" sheetId="3" state="visible" r:id="rId5"/>
    <sheet name="Links" sheetId="4" state="visible" r:id="rId6"/>
    <sheet name="Ranking_Systems" sheetId="5" state="visible" r:id="rId7"/>
    <sheet name="Standings" sheetId="6" state="visible" r:id="rId8"/>
    <sheet name="Cut_Lines" sheetId="7" state="visible" r:id="rId9"/>
    <sheet name="Fixtur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<sst xmlns="http://schemas.openxmlformats.org/spreadsheetml/2006/main" count="6505" uniqueCount="1670">
  <si>
    <t xml:space="preserve">LA28 QUALIFICATION DATABASE — v4</t>
  </si>
  <si>
    <t xml:space="preserve">FENCING, CRICKET, FOOTBALL AND BASKETBALL ARE COMPLETE (green rows).</t>
  </si>
  <si>
    <t xml:space="preserve">WHAT CRICKET ADDED TO THE SCHEMA</t>
  </si>
  <si>
    <t xml:space="preserve">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</si>
  <si>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</si>
  <si>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</si>
  <si>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</si>
  <si>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 xml:space="preserve">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</si>
  <si>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</si>
  <si>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</si>
  <si>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 xml:space="preserve">THE WEST INDIES ASYMMETRY — read this before trusting any cut-line</t>
  </si>
  <si>
    <t xml:space="preserve">West Indies holds a position in the ICC rankings but is not an IOC NOC and cannot take a quota</t>
  </si>
  <si>
    <t xml:space="preserve">place. For the four continental places it is skipped. For the eight FOGQT slots it COUNTS, and if</t>
  </si>
  <si>
    <t xml:space="preserve">it lands inside, a regional tournament converts its slot into an eligible NOC. Same list, two</t>
  </si>
  <si>
    <t xml:space="preserve">different treatments. Great Britain is filtered too: only England counts toward the quotas.</t>
  </si>
  <si>
    <t xml:space="preserve">This is why both ICC rankings are points_model_type = DERIVED, not DOCUMENTED. The ratings are</t>
  </si>
  <si>
    <t xml:space="preserve">computable; the Olympic-eligible ORDER is not what the published table shows.</t>
  </si>
  <si>
    <t xml:space="preserve">TWO CLOCKS, AND THEY ARE NOT THE ONES YOU EXPECT</t>
  </si>
  <si>
    <t xml:space="preserve">Men’s ranking window closes 31 Dec 2026. Women’s closes 1 March 2027. But the host-place test</t>
  </si>
  <si>
    <t xml:space="preserve">closes 31 Dec 2026 for BOTH genders. A women’s T20I in February 2027 can move a team into the</t>
  </si>
  <si>
    <t xml:space="preserve">FOGQT field and cannot help the USA host place. Any window filtering must be per-link.</t>
  </si>
  <si>
    <t xml:space="preserve">MEN AND WOMEN DO NOT MIRROR EACH OTHER</t>
  </si>
  <si>
    <t xml:space="preserve">Men’s four direct places come from the RANKING (D.1). Women’s four come from the 2026 WORLD CUP</t>
  </si>
  <si>
    <t xml:space="preserve">(D.4), already concluded. The women’s ranking only sets the FOGQT field and gates the host place.</t>
  </si>
  <si>
    <t xml:space="preserve">The World Cup therefore has two roles at once: it awards berths AND feeds the ranking.</t>
  </si>
  <si>
    <t xml:space="preserve">FLAGGED AMBIGUITIES (confidence = AMBIGUOUS on those Links rows)</t>
  </si>
  <si>
    <t xml:space="preserve">D.1 and D.4 both say "top ranked NOCs from different continents ... resulting in four teams" but</t>
  </si>
  <si>
    <t xml:space="preserve">never name the four continents or say how ties between continental leaders break. Verify with ICC.</t>
  </si>
  <si>
    <t xml:space="preserve">TABS: Olympic_Events · Competitions · Links · Ranking_Systems · Standings · Cut_Lines · Fixtures</t>
  </si>
  <si>
    <t xml:space="preserve">RANKING MATERIALITY — WHAT THE APP CAN AND CANNOT SAY</t>
  </si>
  <si>
    <t xml:space="preserve">Standings holds current ratings; Cut_Lines holds the thresholds that decide qualification. The app</t>
  </si>
  <si>
    <t xml:space="preserve">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</si>
  <si>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</si>
  <si>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</si>
  <si>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</si>
  <si>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</si>
  <si>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 xml:space="preserve">Amber rows in Standings are incomplete. The women’s T20I table has only five teams captured, so</t>
  </si>
  <si>
    <t xml:space="preserve">no women’s cut-line is computable — including whether the USA holds its top-15 host place.</t>
  </si>
  <si>
    <t xml:space="preserve">Validation: Links!check resolves endpoints; Olympic_Events!berth_check sums inbound berths.</t>
  </si>
  <si>
    <t xml:space="preserve">FIXTURE STAGES AND COMPETITION FORMATS</t>
  </si>
  <si>
    <t xml:space="preserve">Fixtures now carry a stage (Group stage, Group stage leg 1/2, Series match 2 of 3, Knockout,</t>
  </si>
  <si>
    <t xml:space="preserve">Race). stage_source says DERIVED where it was inferred from the fixture pattern rather than</t>
  </si>
  <si>
    <t xml:space="preserve">recorded from a source — treat DERIVED as good but unverified, and overwrite it when you have</t>
  </si>
  <si>
    <t xml:space="preserve">the official round. Competitions carry a format string describing the structure.</t>
  </si>
  <si>
    <t xml:space="preserve">DATA FIX APPLIED: 9 fixtures in the FIBA Women’s AmeriCup 2027 South American Qualifier were</t>
  </si>
  <si>
    <t xml:space="preserve">entered twice each. 18 rows became 9; the sheet went from 381 fixtures to 372.</t>
  </si>
  <si>
    <t xml:space="preserve">olympic_event_id</t>
  </si>
  <si>
    <t xml:space="preserve">sport</t>
  </si>
  <si>
    <t xml:space="preserve">gender</t>
  </si>
  <si>
    <t xml:space="preserve">event_name</t>
  </si>
  <si>
    <t xml:space="preserve">quota_total</t>
  </si>
  <si>
    <t xml:space="preserve">quota_unit</t>
  </si>
  <si>
    <t xml:space="preserve">ioc_doc_url</t>
  </si>
  <si>
    <t xml:space="preserve">notes</t>
  </si>
  <si>
    <t xml:space="preserve">berth_check</t>
  </si>
  <si>
    <t xml:space="preserve">la28-fencing-ind-foil-m</t>
  </si>
  <si>
    <t xml:space="preserve">Fencing</t>
  </si>
  <si>
    <t xml:space="preserve">M</t>
  </si>
  <si>
    <t xml:space="preserve">Men’s Individual Foil</t>
  </si>
  <si>
    <t xml:space="preserve">ATHLETE</t>
  </si>
  <si>
    <t xml:space="preserve">https://stillmed.olympics.com/media/Documents/Olympic-Games/LA28/FEN-LA28-Qualification-System.pdf</t>
  </si>
  <si>
    <t xml:space="preserve">10 individual quota places. The 24 athletes who qualify via team qualification also compete here but hold TEAM places, not these 10 (D.2). Field size 34–37. Max 3 athletes per NOC per weapon overall.</t>
  </si>
  <si>
    <t xml:space="preserve">la28-fencing-team-foil-m</t>
  </si>
  <si>
    <t xml:space="preserve">Men’s Team Foil</t>
  </si>
  <si>
    <t xml:space="preserve">TEAM</t>
  </si>
  <si>
    <t xml:space="preserve">8 teams of 3 = 24 athletes. Max 9 teams if host adds one. 6 team events x 24 = 144 athlete places (B.4).</t>
  </si>
  <si>
    <t xml:space="preserve">la28-fencing-ind-epee-m</t>
  </si>
  <si>
    <t xml:space="preserve">Men’s Individual Épée</t>
  </si>
  <si>
    <t xml:space="preserve">la28-fencing-team-epee-m</t>
  </si>
  <si>
    <t xml:space="preserve">Men’s Team Épée</t>
  </si>
  <si>
    <t xml:space="preserve">la28-fencing-ind-sabre-m</t>
  </si>
  <si>
    <t xml:space="preserve">Men’s Individual Sabre</t>
  </si>
  <si>
    <t xml:space="preserve">la28-fencing-team-sabre-m</t>
  </si>
  <si>
    <t xml:space="preserve">Men’s Team Sabre</t>
  </si>
  <si>
    <t xml:space="preserve">la28-fencing-ind-foil-w</t>
  </si>
  <si>
    <t xml:space="preserve">W</t>
  </si>
  <si>
    <t xml:space="preserve">Women’s Individual Foil</t>
  </si>
  <si>
    <t xml:space="preserve">la28-fencing-team-foil-w</t>
  </si>
  <si>
    <t xml:space="preserve">Women’s Team Foil</t>
  </si>
  <si>
    <t xml:space="preserve">la28-fencing-ind-epee-w</t>
  </si>
  <si>
    <t xml:space="preserve">Women’s Individual Épée</t>
  </si>
  <si>
    <t xml:space="preserve">la28-fencing-team-epee-w</t>
  </si>
  <si>
    <t xml:space="preserve">Women’s Team Épée</t>
  </si>
  <si>
    <t xml:space="preserve">la28-fencing-ind-sabre-w</t>
  </si>
  <si>
    <t xml:space="preserve">Women’s Individual Sabre</t>
  </si>
  <si>
    <t xml:space="preserve">la28-fencing-team-sabre-w</t>
  </si>
  <si>
    <t xml:space="preserve">Women’s Team Sabre</t>
  </si>
  <si>
    <t xml:space="preserve">la28-fencing-flexible</t>
  </si>
  <si>
    <t xml:space="preserve">X</t>
  </si>
  <si>
    <t xml:space="preserve">Fencing — host + universality pool</t>
  </si>
  <si>
    <t xml:space="preserve">6 host places (D.3) + 2 universality (D.4). NOT pre-assigned to a specific event — host distributes as it sees fit, Tripartite allocates universality. Modelled as one pool because the target event is unknown until 19 May 2028.</t>
  </si>
  <si>
    <t xml:space="preserve">la28-cricket-m</t>
  </si>
  <si>
    <t xml:space="preserve">Cricket</t>
  </si>
  <si>
    <t xml:space="preserve">Men’s Cricket (T20)</t>
  </si>
  <si>
    <t xml:space="preserve">https://stillmed.olympics.com/media/Documents/Olympic-Games/LA28/CRI-LA28-Qualification-System.pdf</t>
  </si>
  <si>
    <t xml:space="preserve">6 teams of 15 = 90 athletes. Max 1 team per NOC per event. Quota allocated to the NOC, not by athlete name (B.3).</t>
  </si>
  <si>
    <t xml:space="preserve">la28-cricket-w</t>
  </si>
  <si>
    <t xml:space="preserve">Women’s Cricket (T20)</t>
  </si>
  <si>
    <t xml:space="preserve">la28-football-m</t>
  </si>
  <si>
    <t xml:space="preserve">Football</t>
  </si>
  <si>
    <t xml:space="preserve">Men’s Football (U-23)</t>
  </si>
  <si>
    <t xml:space="preserve">https://en.wikipedia.org/wiki/Football_at_the_2028_Summer_Olympics_%E2%80%93_Men%27s_qualification</t>
  </si>
  <si>
    <t xml:space="preserve">Reduced from 16 to 12 for LA28. U-23 with up to 3 overage players. FIFA Council approved the final berth allocation 17 Dec 2025. AFC 2, CAF 2, CONCACAF 1, CONMEBOL 2, OFC 1, UEFA 3, host 1.</t>
  </si>
  <si>
    <t xml:space="preserve">la28-football-w</t>
  </si>
  <si>
    <t xml:space="preserve">Women’s Football</t>
  </si>
  <si>
    <t xml:space="preserve">https://en.wikipedia.org/wiki/Football_at_the_2028_Summer_Olympics_%E2%80%93_Women%27s_qualification</t>
  </si>
  <si>
    <t xml:space="preserve">Expanded from 12 to 16 — first Games where the women’s field is larger than the men’s. Senior national teams, no age limit. AFC 2, CAF 2, CONCACAF 3, CONMEBOL 2, OFC 1, UEFA 4, AFC–CONMEBOL play-off 1, host 1.</t>
  </si>
  <si>
    <t xml:space="preserve">la28-basketball-m</t>
  </si>
  <si>
    <t xml:space="preserve">Basketball</t>
  </si>
  <si>
    <t xml:space="preserve">Men’s Basketball (5x5)</t>
  </si>
  <si>
    <t xml:space="preserve">https://stillmed.olympics.com/media/Documents/Olympic-Games/LA28/BKB-LA28-Qualification-System.pdf</t>
  </si>
  <si>
    <t xml:space="preserve">12 teams of 12 = 144 athletes. 11 quota places + 1 host place. Host place is SUBJECT TO a FIBA Central Board decision in 2027 — not guaranteed. Tournament runs 12–30 July 2028.</t>
  </si>
  <si>
    <t xml:space="preserve">la28-basketball-w</t>
  </si>
  <si>
    <t xml:space="preserve">Women’s Basketball (5x5)</t>
  </si>
  <si>
    <t xml:space="preserve">12 teams of 12 = 144 athletes. Host place also subject to a FIBA Central Board decision in 2027. If the FWBWC 2026 winner is also the host, only one team qualifies directly and 11 come through the FWOQT.</t>
  </si>
  <si>
    <t xml:space="preserve">competition_id</t>
  </si>
  <si>
    <t xml:space="preserve">name</t>
  </si>
  <si>
    <t xml:space="preserve">confederation</t>
  </si>
  <si>
    <t xml:space="preserve">start_date</t>
  </si>
  <si>
    <t xml:space="preserve">end_date</t>
  </si>
  <si>
    <t xml:space="preserve">date_confidence</t>
  </si>
  <si>
    <t xml:space="preserve">location</t>
  </si>
  <si>
    <t xml:space="preserve">status</t>
  </si>
  <si>
    <t xml:space="preserve">format</t>
  </si>
  <si>
    <t xml:space="preserve">teams_count</t>
  </si>
  <si>
    <t xml:space="preserve">official_url</t>
  </si>
  <si>
    <t xml:space="preserve">source_ref</t>
  </si>
  <si>
    <t xml:space="preserve">confidence</t>
  </si>
  <si>
    <t xml:space="preserve">fie-senior-team-world-cup</t>
  </si>
  <si>
    <t xml:space="preserve">Senior Team World Cup competitions</t>
  </si>
  <si>
    <t xml:space="preserve">GLOBAL</t>
  </si>
  <si>
    <t xml:space="preserve">2027-04-01</t>
  </si>
  <si>
    <t xml:space="preserve">2028-04-01</t>
  </si>
  <si>
    <t xml:space="preserve">APPROXIMATE</t>
  </si>
  <si>
    <t xml:space="preserve">SCHEDULED</t>
  </si>
  <si>
    <t xml:space="preserve">Category of events across the season · awards ranking points only</t>
  </si>
  <si>
    <t xml:space="preserve">https://fie.org/</t>
  </si>
  <si>
    <t xml:space="preserve">D.1</t>
  </si>
  <si>
    <t xml:space="preserve">FROM_IOC_DOC</t>
  </si>
  <si>
    <t xml:space="preserve">Category, not a single event. Awards points to the FIE Senior Team Ranking.</t>
  </si>
  <si>
    <t xml:space="preserve">fie-senior-team-world-championships</t>
  </si>
  <si>
    <t xml:space="preserve">Senior Team World Championships</t>
  </si>
  <si>
    <t xml:space="preserve">fie-senior-team-continental-championships</t>
  </si>
  <si>
    <t xml:space="preserve">Senior Team Continental Championships</t>
  </si>
  <si>
    <t xml:space="preserve">fie-individual-grand-prix</t>
  </si>
  <si>
    <t xml:space="preserve">Individual Grand Prix competitions</t>
  </si>
  <si>
    <t xml:space="preserve">D.2</t>
  </si>
  <si>
    <t xml:space="preserve">Category, not a single event. Awards points to the FIE Individual Official Ranking.</t>
  </si>
  <si>
    <t xml:space="preserve">fie-individual-senior-world-cup</t>
  </si>
  <si>
    <t xml:space="preserve">Individual Senior World Cup competitions</t>
  </si>
  <si>
    <t xml:space="preserve">fie-satellite-competitions</t>
  </si>
  <si>
    <t xml:space="preserve">Satellite competitions</t>
  </si>
  <si>
    <t xml:space="preserve">fie-individual-senior-world-championships</t>
  </si>
  <si>
    <t xml:space="preserve">Individual Senior World Championships</t>
  </si>
  <si>
    <t xml:space="preserve">fie-individual-senior-continental-championships</t>
  </si>
  <si>
    <t xml:space="preserve">Individual Senior Continental Championships</t>
  </si>
  <si>
    <t xml:space="preserve">fie-zonal-qualifying-europe</t>
  </si>
  <si>
    <t xml:space="preserve">FIE Zonal Qualifying Event — Europe</t>
  </si>
  <si>
    <t xml:space="preserve">2028-04-02</t>
  </si>
  <si>
    <t xml:space="preserve">2028-04-30</t>
  </si>
  <si>
    <t xml:space="preserve">CONFIRMED</t>
  </si>
  <si>
    <t xml:space="preserve">Zonal event · one athlete per NOC per weapon</t>
  </si>
  <si>
    <t xml:space="preserve">Last-chance event. Open ONLY to NOCs with no athlete qualified for that weapon via team, AOR, or AOR by zone. Runs AFTER ranking closure (1 Apr 2028).</t>
  </si>
  <si>
    <t xml:space="preserve">fie-zonal-qualifying-asia-oceania</t>
  </si>
  <si>
    <t xml:space="preserve">FIE Zonal Qualifying Event — Asia-Oceania</t>
  </si>
  <si>
    <t xml:space="preserve">fie-zonal-qualifying-americas</t>
  </si>
  <si>
    <t xml:space="preserve">FIE Zonal Qualifying Event — the Americas</t>
  </si>
  <si>
    <t xml:space="preserve">fie-zonal-qualifying-africa</t>
  </si>
  <si>
    <t xml:space="preserve">FIE Zonal Qualifying Event — Africa</t>
  </si>
  <si>
    <t xml:space="preserve">icc-womens-t20-world-cup-2026</t>
  </si>
  <si>
    <t xml:space="preserve">ICC Women’s T20 World Cup 2026</t>
  </si>
  <si>
    <t xml:space="preserve">2026-06-12</t>
  </si>
  <si>
    <t xml:space="preserve">2026-07-06</t>
  </si>
  <si>
    <t xml:space="preserve">COMPLETE</t>
  </si>
  <si>
    <t xml:space="preserve">T20 World Cup · group stage then knockout</t>
  </si>
  <si>
    <t xml:space="preserve">https://www.icc-cricket.com/</t>
  </si>
  <si>
    <t xml:space="preserve">D.4, H</t>
  </si>
  <si>
    <t xml:space="preserve">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</si>
  <si>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 xml:space="preserve">icc-fogqt-men</t>
  </si>
  <si>
    <t xml:space="preserve">Final Olympic Global Qualification Tournament — Men</t>
  </si>
  <si>
    <t xml:space="preserve">TBD</t>
  </si>
  <si>
    <t xml:space="preserve">UNANNOUNCED</t>
  </si>
  <si>
    <t xml:space="preserve">8 teams · format TBC</t>
  </si>
  <si>
    <t xml:space="preserve">D.3, H</t>
  </si>
  <si>
    <t xml:space="preserve">Date and venue TBC. Field of 8 = next eight highest-ranked eligible teams not yet qualified on the ICC Men’s T20I Rankings, allocated 31 Dec 2026. Winner takes the last men’s place. No cap on continental representation at this stage.</t>
  </si>
  <si>
    <t xml:space="preserve">icc-fogqt-women</t>
  </si>
  <si>
    <t xml:space="preserve">Final Olympic Global Qualification Tournament — Women</t>
  </si>
  <si>
    <t xml:space="preserve">D.6, H</t>
  </si>
  <si>
    <t xml:space="preserve">Date and venue TBC. Field of 8 = next eight highest-ranked eligible teams not yet qualified on the ICC Women’s T20I Rankings, allocated 1 March 2027. Winner takes the last women’s place. No cap on continental representation.</t>
  </si>
  <si>
    <t xml:space="preserve">icc-west-indies-regional-tournament-m</t>
  </si>
  <si>
    <t xml:space="preserve">West Indies Nations Regional Tournament — Men</t>
  </si>
  <si>
    <t xml:space="preserve">CONDITIONAL</t>
  </si>
  <si>
    <t xml:space="preserve">Caribbean NOCs · format TBC, tournament conditional</t>
  </si>
  <si>
    <t xml:space="preserve">D.3</t>
  </si>
  <si>
    <t xml:space="preserve">CURRENTLY ON TRACK TO HAPPEN. West Indies sits 7th in the men’s rankings and is inside the eight highest-ranked teams not yet qualified. Decides which Caribbean NOC represents the region at the men’s Olympics Qualifier. Trigger is assessed on the 31 Dec 2026 standings.</t>
  </si>
  <si>
    <t xml:space="preserve">icc-west-indies-regional-tournament-w</t>
  </si>
  <si>
    <t xml:space="preserve">West Indies Nations Regional Tournament — Women</t>
  </si>
  <si>
    <t xml:space="preserve">D.6</t>
  </si>
  <si>
    <t xml:space="preserve">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</si>
  <si>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 xml:space="preserve">uefa-u21-euro-2027</t>
  </si>
  <si>
    <t xml:space="preserve">2027 UEFA European Under-21 Championship</t>
  </si>
  <si>
    <t xml:space="preserve">UEFA</t>
  </si>
  <si>
    <t xml:space="preserve">2027-06-01</t>
  </si>
  <si>
    <t xml:space="preserve">2027-06-30</t>
  </si>
  <si>
    <t xml:space="preserve">Albania / Serbia</t>
  </si>
  <si>
    <t xml:space="preserve">16 teams · four groups of four, then knockout</t>
  </si>
  <si>
    <t xml:space="preserve">https://www.fifa.com/</t>
  </si>
  <si>
    <t xml:space="preserve">CONFLICTING_DATES</t>
  </si>
  <si>
    <t xml:space="preserve">16 teams. Awards 3 Olympic berths to the top 3 ELIGIBLE teams. DATE CONFLICT: Wikipedia’s tournament page gives 17 June – 4 July 2027, Totallympics gives 9–27 June, the qualification table just says June 2027. Verify with UEFA.</t>
  </si>
  <si>
    <t xml:space="preserve">uefa-u21-euro-2027-qualifying</t>
  </si>
  <si>
    <t xml:space="preserve">2027 UEFA U21 Championship qualifying</t>
  </si>
  <si>
    <t xml:space="preserve">2025-06-05</t>
  </si>
  <si>
    <t xml:space="preserve">2026-10-06</t>
  </si>
  <si>
    <t xml:space="preserve">Various</t>
  </si>
  <si>
    <t xml:space="preserve">IN_PROGRESS</t>
  </si>
  <si>
    <t xml:space="preserve">51 teams · nine groups, home and away, 12 matchdays</t>
  </si>
  <si>
    <t xml:space="preserve">FROM_WIKIPEDIA</t>
  </si>
  <si>
    <t xml:space="preserve">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</si>
  <si>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 xml:space="preserve">concacaf-u20-2026-qualification</t>
  </si>
  <si>
    <t xml:space="preserve">2026 CONCACAF U-20 Championship qualification</t>
  </si>
  <si>
    <t xml:space="preserve">CONCACAF</t>
  </si>
  <si>
    <t xml:space="preserve">UNCONFIRMED</t>
  </si>
  <si>
    <t xml:space="preserve">Determined the field for the 2026 CONCACAF U-20 Championship. Dates not captured — fill in from CONCACAF.</t>
  </si>
  <si>
    <t xml:space="preserve">afc-u23-asian-cup-2028</t>
  </si>
  <si>
    <t xml:space="preserve">2028 AFC U-23 Asian Cup</t>
  </si>
  <si>
    <t xml:space="preserve">AFC</t>
  </si>
  <si>
    <t xml:space="preserve">Awards 2 Olympic berths. Dates, venue and format not announced. As of Feb 2026 only CONCACAF and UEFA had published their men’s processes.</t>
  </si>
  <si>
    <t xml:space="preserve">u23-afcon-2027</t>
  </si>
  <si>
    <t xml:space="preserve">2027 U-23 Africa Cup of Nations</t>
  </si>
  <si>
    <t xml:space="preserve">CAF</t>
  </si>
  <si>
    <t xml:space="preserve">Awards 2 Olympic berths. Dates, venue and format not announced.</t>
  </si>
  <si>
    <t xml:space="preserve">conmebol-olympic-qualifying-2028-m</t>
  </si>
  <si>
    <t xml:space="preserve">CONMEBOL men’s Olympic qualifying (format TBA)</t>
  </si>
  <si>
    <t xml:space="preserve">CONMEBOL</t>
  </si>
  <si>
    <t xml:space="preserve">Awards 2 Olympic berths. CONMEBOL had not announced its men’s process as of Feb 2026. Placeholder so the 12 berths reconcile.</t>
  </si>
  <si>
    <t xml:space="preserve">ofc-olympic-qualifying-2028-m</t>
  </si>
  <si>
    <t xml:space="preserve">OFC men’s Olympic qualifying (format TBA)</t>
  </si>
  <si>
    <t xml:space="preserve">OFC</t>
  </si>
  <si>
    <t xml:space="preserve">Awards 1 Olympic berth. Format not announced.</t>
  </si>
  <si>
    <t xml:space="preserve">afc-w-oqt-2028</t>
  </si>
  <si>
    <t xml:space="preserve">2028 AFC Women’s Olympic Qualifying Tournament</t>
  </si>
  <si>
    <t xml:space="preserve">2027-04-19</t>
  </si>
  <si>
    <t xml:space="preserve">2027-12-04</t>
  </si>
  <si>
    <t xml:space="preserve">Multiple</t>
  </si>
  <si>
    <t xml:space="preserve">8 teams · two groups of four, league format</t>
  </si>
  <si>
    <t xml:space="preserve">8 teams = the 2026 AFC Women’s Asian Cup quarter-finalists, drawn into two groups of four playing a league format. The two group winners qualify directly. Two further teams play home-and-away to decide who goes to the AFC–CONMEBOL play-off. DATE CONFLICT: the qualification table says 19 Apr – 4 Dec 2027; the tournament article says 19 Apr 2027 – 4 Mar 2028.</t>
  </si>
  <si>
    <t xml:space="preserve">afc-womens-asian-cup-2026</t>
  </si>
  <si>
    <t xml:space="preserve">2026 AFC Women’s Asian Cup</t>
  </si>
  <si>
    <t xml:space="preserve">Its eight quarter-finalists form the field for the 2028 AFC Women’s Olympic Qualifying Tournament. Reaching the quarter-finals is therefore the real Asian entry point. Dates not captured — fill in from AFC.</t>
  </si>
  <si>
    <t xml:space="preserve">caf-w-oqt-2028-r1</t>
  </si>
  <si>
    <t xml:space="preserve">2028 CAF Women’s Olympic Qualifying — Round 1</t>
  </si>
  <si>
    <t xml:space="preserve">2026-06-01</t>
  </si>
  <si>
    <t xml:space="preserve">2026-06-09</t>
  </si>
  <si>
    <t xml:space="preserve">6 teams · 3 two-legged ties</t>
  </si>
  <si>
    <t xml:space="preserve">6 lowest-ranked teams by FIFA ranking in 3 two-legged ties. Winners advance. 35 nations entered; all ties home-and-away. Round 1 of 5.</t>
  </si>
  <si>
    <t xml:space="preserve">caf-w-oqt-2028-r2</t>
  </si>
  <si>
    <t xml:space="preserve">2028 CAF Women’s Olympic Qualifying — Round 2</t>
  </si>
  <si>
    <t xml:space="preserve">2026-10-05</t>
  </si>
  <si>
    <t xml:space="preserve">2026-10-13</t>
  </si>
  <si>
    <t xml:space="preserve">32 teams · 16 two-legged ties</t>
  </si>
  <si>
    <t xml:space="preserve">32 teams in 16 ties: the 3 first-round winners, the 3 highest-ranked (Nigeria, South Africa, Ghana) and 29 byes. 16 winners advance. 35 nations entered; all ties home-and-away. Round 2 of 5.</t>
  </si>
  <si>
    <t xml:space="preserve">caf-w-oqt-2028-r3</t>
  </si>
  <si>
    <t xml:space="preserve">2028 CAF Women’s Olympic Qualifying — Round 3</t>
  </si>
  <si>
    <t xml:space="preserve">2027-02-23</t>
  </si>
  <si>
    <t xml:space="preserve">2027-03-06</t>
  </si>
  <si>
    <t xml:space="preserve">16 teams · 8 two-legged ties</t>
  </si>
  <si>
    <t xml:space="preserve">16 teams in 8 ties. 8 winners advance. 35 nations entered; all ties home-and-away. Round 3 of 5.</t>
  </si>
  <si>
    <t xml:space="preserve">caf-w-oqt-2028-r4</t>
  </si>
  <si>
    <t xml:space="preserve">2028 CAF Women’s Olympic Qualifying — Round 4</t>
  </si>
  <si>
    <t xml:space="preserve">2027-10-04</t>
  </si>
  <si>
    <t xml:space="preserve">2027-10-12</t>
  </si>
  <si>
    <t xml:space="preserve">8 teams · 4 two-legged ties</t>
  </si>
  <si>
    <t xml:space="preserve">8 teams in 4 ties. 4 winners advance. 35 nations entered; all ties home-and-away. Round 4 of 5.</t>
  </si>
  <si>
    <t xml:space="preserve">caf-w-oqt-2028-r5</t>
  </si>
  <si>
    <t xml:space="preserve">2028 CAF Women’s Olympic Qualifying — Round 5</t>
  </si>
  <si>
    <t xml:space="preserve">2027-11-23</t>
  </si>
  <si>
    <t xml:space="preserve">4 teams · 2 two-legged ties</t>
  </si>
  <si>
    <t xml:space="preserve">Final 4 teams in 2 ties. The 2 winners take Africa’s Olympic places. 35 nations entered; all ties home-and-away. Round 5 of 5.</t>
  </si>
  <si>
    <t xml:space="preserve">concacaf-w-championship-2026</t>
  </si>
  <si>
    <t xml:space="preserve">2026 CONCACAF W Championship</t>
  </si>
  <si>
    <t xml:space="preserve">2026-11-27</t>
  </si>
  <si>
    <t xml:space="preserve">2026-12-05</t>
  </si>
  <si>
    <t xml:space="preserve">United States</t>
  </si>
  <si>
    <t xml:space="preserve">Group stage, then semi-finals, third-place play-off and final</t>
  </si>
  <si>
    <t xml:space="preserve">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</si>
  <si>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 xml:space="preserve">copa-america-femenina-2025</t>
  </si>
  <si>
    <t xml:space="preserve">2025 Copa América Femenina</t>
  </si>
  <si>
    <t xml:space="preserve">2025-07-11</t>
  </si>
  <si>
    <t xml:space="preserve">2025-08-02</t>
  </si>
  <si>
    <t xml:space="preserve">Ecuador</t>
  </si>
  <si>
    <t xml:space="preserve">Group stage then knockout · concluded</t>
  </si>
  <si>
    <t xml:space="preserve">Brazil and Colombia qualified as finalists — before FIFA had even announced the slot allocation. The third-placed team goes to the AFC–CONMEBOL play-off. South America’s two direct places are settled and cannot change.</t>
  </si>
  <si>
    <t xml:space="preserve">ofc-w-oqt-2028</t>
  </si>
  <si>
    <t xml:space="preserve">2028 OFC Olympic Qualifying Tournament</t>
  </si>
  <si>
    <t xml:space="preserve">Awards 1 Olympic berth. Format still unannounced as of May 2026.</t>
  </si>
  <si>
    <t xml:space="preserve">uefa-wnl-2027</t>
  </si>
  <si>
    <t xml:space="preserve">2027 UEFA Women’s Nations League</t>
  </si>
  <si>
    <t xml:space="preserve">2027-03-01</t>
  </si>
  <si>
    <t xml:space="preserve">2027-11-30</t>
  </si>
  <si>
    <t xml:space="preserve">UNCONFIRMED_MECHANISM</t>
  </si>
  <si>
    <t xml:space="preserve">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</si>
  <si>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 xml:space="preserve">uefa-womens-european-qualifiers-2026</t>
  </si>
  <si>
    <t xml:space="preserve">2026 UEFA Women’s European Qualifiers</t>
  </si>
  <si>
    <t xml:space="preserve">2026-03-03</t>
  </si>
  <si>
    <t xml:space="preserve">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</si>
  <si>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 xml:space="preserve">afc-conmebol-playoff-w</t>
  </si>
  <si>
    <t xml:space="preserve">AFC–CONMEBOL play-off</t>
  </si>
  <si>
    <t xml:space="preserve">2 teams · inter-confederation play-off</t>
  </si>
  <si>
    <t xml:space="preserve">Single berth decided between one AFC team and one CONMEBOL team. Announced by FIFA in Dec 2025 when both confederations were given 2.5 slots. Dates and format TBC.</t>
  </si>
  <si>
    <t xml:space="preserve">fiba-womens-afrobasket-2027</t>
  </si>
  <si>
    <t xml:space="preserve">FIBA Women’s AfroBasket 2027</t>
  </si>
  <si>
    <t xml:space="preserve">FIBA Africa</t>
  </si>
  <si>
    <t xml:space="preserve">2027-07-23</t>
  </si>
  <si>
    <t xml:space="preserve">2027-08-01</t>
  </si>
  <si>
    <t xml:space="preserve">Continental cup · group stage then knockout</t>
  </si>
  <si>
    <t xml:space="preserve">https://www.fiba.basketball/</t>
  </si>
  <si>
    <t xml:space="preserve">D, G</t>
  </si>
  <si>
    <t xml:space="preserve">The two best classified teams enter the FWOQT. Dates marked subject to change in the IOC document.</t>
  </si>
  <si>
    <t xml:space="preserve">fwbwc-qualifying-tournaments-2026</t>
  </si>
  <si>
    <t xml:space="preserve">FIBA Women’s Basketball World Cup Qualifying Tournaments 2026</t>
  </si>
  <si>
    <t xml:space="preserve">Split point of the whole women’s pathway: teams that qualified went to the FWBWC 2026, and the eight that did not went to the FWOPQT instead. Both branches lead to LA28. Dates not captured — fill in from FIBA.</t>
  </si>
  <si>
    <t xml:space="preserve">2026-baseball-european-championship-b-pool-group-bulgaria</t>
  </si>
  <si>
    <t xml:space="preserve">2026 Baseball European Championship B Pool — Group Bulgaria</t>
  </si>
  <si>
    <t xml:space="preserve">Baseball</t>
  </si>
  <si>
    <t xml:space="preserve">5 teams · groups, single round-robin</t>
  </si>
  <si>
    <t xml:space="preserve">1 (2nd degree) | </t>
  </si>
  <si>
    <t xml:space="preserve">2026-baseball-european-championship-b-pool-group-poland</t>
  </si>
  <si>
    <t xml:space="preserve">2026 Baseball European Championship B Pool — Group Poland</t>
  </si>
  <si>
    <t xml:space="preserve">6 teams · groups, single round-robin</t>
  </si>
  <si>
    <t xml:space="preserve">2026-central-american-and-caribbean-games-men-s-field-hockey</t>
  </si>
  <si>
    <t xml:space="preserve">2026 Central American and Caribbean Games — Men's Field Hockey</t>
  </si>
  <si>
    <t xml:space="preserve">Field Hockey</t>
  </si>
  <si>
    <t xml:space="preserve">8 teams · groups, single round-robin</t>
  </si>
  <si>
    <t xml:space="preserve">2 (1st degree) | </t>
  </si>
  <si>
    <t xml:space="preserve">2026-central-american-and-caribbean-games-women</t>
  </si>
  <si>
    <t xml:space="preserve">2026 Central American and Caribbean Games — Women</t>
  </si>
  <si>
    <t xml:space="preserve">2026-concacaf-u-20-championship</t>
  </si>
  <si>
    <t xml:space="preserve">2026 Concacaf U-20 Championship</t>
  </si>
  <si>
    <t xml:space="preserve">2026-07-25</t>
  </si>
  <si>
    <t xml:space="preserve">2026-08-09</t>
  </si>
  <si>
    <t xml:space="preserve">12 teams · groups, single round-robin</t>
  </si>
  <si>
    <t xml:space="preserve">1 (last chance) | </t>
  </si>
  <si>
    <t xml:space="preserve">2026-fiba-3x3-women-s-series-tokyo-stop</t>
  </si>
  <si>
    <t xml:space="preserve">2026 FIBA 3x3 Women's Series — Tokyo Stop</t>
  </si>
  <si>
    <t xml:space="preserve">3x3 Basketball</t>
  </si>
  <si>
    <t xml:space="preserve">18 teams · groups, single round-robin</t>
  </si>
  <si>
    <t xml:space="preserve">Ranking (1 per region Dec 2027) | </t>
  </si>
  <si>
    <t xml:space="preserve">2026-fiba-women-s-basketball-world-cup</t>
  </si>
  <si>
    <t xml:space="preserve">2026 FIBA Women's Basketball World Cup</t>
  </si>
  <si>
    <t xml:space="preserve">2026-09-04</t>
  </si>
  <si>
    <t xml:space="preserve">2026-09-13</t>
  </si>
  <si>
    <t xml:space="preserve">16 teams · groups, single round-robin</t>
  </si>
  <si>
    <t xml:space="preserve">Germany. The CHAMPION qualifies directly for LA28 — one team, not a placing range. If the champion is also the host, only that one team qualifies directly and the FWOQT awards 11 instead of 10.</t>
  </si>
  <si>
    <t xml:space="preserve">2026-fiba-women-s-olympic-pre-qualifying-tournament</t>
  </si>
  <si>
    <t xml:space="preserve">2026 FIBA Women's Olympic Pre-Qualifying Tournament</t>
  </si>
  <si>
    <t xml:space="preserve">2026-08-17</t>
  </si>
  <si>
    <t xml:space="preserve">2026-08-23</t>
  </si>
  <si>
    <t xml:space="preserve">8 teams: those that missed the FWBWC 2026 through the World Cup Qualifying Tournaments. Hosted by a participating NF. Only the top team advances to the FWOQT.</t>
  </si>
  <si>
    <t xml:space="preserve">2026-fivb-men-s-volleyball-nations-league</t>
  </si>
  <si>
    <t xml:space="preserve">2026 FIVB Men's Volleyball Nations League</t>
  </si>
  <si>
    <t xml:space="preserve">Volleyball</t>
  </si>
  <si>
    <t xml:space="preserve">Ranking (3 June 2028) | </t>
  </si>
  <si>
    <t xml:space="preserve">2026-ifaf-men-s-flag-football-world-championship</t>
  </si>
  <si>
    <t xml:space="preserve">2026 IFAF Men's Flag Football World Championship</t>
  </si>
  <si>
    <t xml:space="preserve">Flag Football</t>
  </si>
  <si>
    <t xml:space="preserve">Field or draw not yet determined</t>
  </si>
  <si>
    <t xml:space="preserve">Places: 2 men's + 2 women's quota places | </t>
  </si>
  <si>
    <t xml:space="preserve">2026-uec-mountain-bike-european-championships-xco</t>
  </si>
  <si>
    <t xml:space="preserve">2026 UEC Mountain Bike European Championships — XCO</t>
  </si>
  <si>
    <t xml:space="preserve">Cycling</t>
  </si>
  <si>
    <t xml:space="preserve">5 events · individual races, no head-to-head fixtures</t>
  </si>
  <si>
    <t xml:space="preserve">Ranking (19 May 2028) | </t>
  </si>
  <si>
    <t xml:space="preserve">2027-fiba-basketball-world-cup</t>
  </si>
  <si>
    <t xml:space="preserve">2027 FIBA Basketball World Cup</t>
  </si>
  <si>
    <t xml:space="preserve">2027-08-27</t>
  </si>
  <si>
    <t xml:space="preserve">2027-09-12</t>
  </si>
  <si>
    <t xml:space="preserve">32 teams · group stage then knockout</t>
  </si>
  <si>
    <t xml:space="preserve">Qatar. Does double duty: awards 7 Olympic places outright (Africa 1, Americas 2, Asia 1, Europe 2, Oceania 1, by final official classification) AND sends 19 more teams into the FOQT 2028 — 3 regional best-placed non-qualifiers plus the 16 best-placed non-qualifiers overall.</t>
  </si>
  <si>
    <t xml:space="preserve">2027-fiba-basketball-world-cup-qualification-africa</t>
  </si>
  <si>
    <t xml:space="preserve">2027 FIBA Basketball World Cup qualification (Africa)</t>
  </si>
  <si>
    <t xml:space="preserve">2026-08-27</t>
  </si>
  <si>
    <t xml:space="preserve">2027-02-28</t>
  </si>
  <si>
    <t xml:space="preserve">12 teams · groups, home and away (double round-robin)</t>
  </si>
  <si>
    <t xml:space="preserve">Feeds the FBWC 2027, and separately supplies FOPQT entrants: teams reaching the second round but missing the World Cup go to the FOPQT. Africa has 6 FOPQT places.</t>
  </si>
  <si>
    <t xml:space="preserve">2027-fiba-basketball-world-cup-qualification-americas</t>
  </si>
  <si>
    <t xml:space="preserve">2027 FIBA Basketball World Cup qualification (Americas)</t>
  </si>
  <si>
    <t xml:space="preserve">FIBA Americas</t>
  </si>
  <si>
    <t xml:space="preserve">Feeds the FBWC 2027 and supplies FOPQT entrants. Americas has 6 FOPQT places.</t>
  </si>
  <si>
    <t xml:space="preserve">2027-fiba-basketball-world-cup-qualification-asia</t>
  </si>
  <si>
    <t xml:space="preserve">2027 FIBA Basketball World Cup qualification (Asia)</t>
  </si>
  <si>
    <t xml:space="preserve">FIBA Asia</t>
  </si>
  <si>
    <t xml:space="preserve">Feeds the FBWC 2027 and supplies FOPQT entrants. Asia including Oceania has 6 FOPQT places.</t>
  </si>
  <si>
    <t xml:space="preserve">2027-fiba-basketball-world-cup-qualification-europe</t>
  </si>
  <si>
    <t xml:space="preserve">2027 FIBA Basketball World Cup qualification (Europe)</t>
  </si>
  <si>
    <t xml:space="preserve">FIBA Europe</t>
  </si>
  <si>
    <t xml:space="preserve">24 teams · groups, home and away (double round-robin)</t>
  </si>
  <si>
    <t xml:space="preserve">Feeds the FBWC 2027 and supplies FOPQT entrants. Europe has 16 of the 34 FOPQT places.</t>
  </si>
  <si>
    <t xml:space="preserve">2027-fiba-women-s-americup</t>
  </si>
  <si>
    <t xml:space="preserve">2027 FIBA Women's AmeriCup</t>
  </si>
  <si>
    <t xml:space="preserve">2027-07-03</t>
  </si>
  <si>
    <t xml:space="preserve">2027-07-11</t>
  </si>
  <si>
    <t xml:space="preserve">Four best classified teams enter the FWOQT. Dates marked subject to change in the IOC document.</t>
  </si>
  <si>
    <t xml:space="preserve">2027-fiba-women-s-asia-cup</t>
  </si>
  <si>
    <t xml:space="preserve">2027 FIBA Women's Asia Cup</t>
  </si>
  <si>
    <t xml:space="preserve">2027-07-18</t>
  </si>
  <si>
    <t xml:space="preserve">Four best classified teams (Asia including Oceania) enter the FWOQT. Dates subject to change.</t>
  </si>
  <si>
    <t xml:space="preserve">2027-wbsc-premier12</t>
  </si>
  <si>
    <t xml:space="preserve">2027 WBSC Premier12</t>
  </si>
  <si>
    <t xml:space="preserve">1 Asia, 1 Europe/Oceania (1st degree) | </t>
  </si>
  <si>
    <t xml:space="preserve">2027-wbsc-premier12-qualification</t>
  </si>
  <si>
    <t xml:space="preserve">2027 WBSC Premier12 qualification</t>
  </si>
  <si>
    <t xml:space="preserve">2 (each pool) (2nd degree) | </t>
  </si>
  <si>
    <t xml:space="preserve">2027-women-s-softball-european-championship</t>
  </si>
  <si>
    <t xml:space="preserve">2027 Women's Softball European Championship</t>
  </si>
  <si>
    <t xml:space="preserve">Softball</t>
  </si>
  <si>
    <t xml:space="preserve">Likely qualifiers for Europe/Africa Qualifier (unconfirmed) | </t>
  </si>
  <si>
    <t xml:space="preserve">2027-women-s-softball-world-cup</t>
  </si>
  <si>
    <t xml:space="preserve">2027 Women's Softball World Cup</t>
  </si>
  <si>
    <t xml:space="preserve">1 (1st degree) | </t>
  </si>
  <si>
    <t xml:space="preserve">2028-fiba-men-s-olympic-qualifying-tournaments</t>
  </si>
  <si>
    <t xml:space="preserve">2028 FIBA Men's Olympic Qualifying Tournaments</t>
  </si>
  <si>
    <t xml:space="preserve">2028-06-26</t>
  </si>
  <si>
    <t xml:space="preserve">2028-07-02</t>
  </si>
  <si>
    <t xml:space="preserve">24 teams · four tournaments of six, winner of each qualifies</t>
  </si>
  <si>
    <t xml:space="preserve">24 teams in four tournaments of six, one per continent in principle. ONLY THE WINNER of each tournament qualifies — 4 places from 24 teams. Entries deadline for these four teams is 2 July 2028, six days after the general deadline.</t>
  </si>
  <si>
    <t xml:space="preserve">2028-fiba-women-s-olympic-qualifying-tournaments</t>
  </si>
  <si>
    <t xml:space="preserve">2028 FIBA Women's Olympic Qualifying Tournaments</t>
  </si>
  <si>
    <t xml:space="preserve">2028-02-10</t>
  </si>
  <si>
    <t xml:space="preserve">2028-02-13</t>
  </si>
  <si>
    <t xml:space="preserve">16 teams · four tournaments of four, top three in each qualify</t>
  </si>
  <si>
    <t xml:space="preserve">16 teams in four tournaments of four. The top THREE in each qualify = 12 positions, but the host and the FWBWC 2026 winner are already among the 16, so the net gain is 10 places. Host and champion cannot be drawn in the same group.</t>
  </si>
  <si>
    <t xml:space="preserve">bangladeshi-cricket-team-in-south-africa-in-202627</t>
  </si>
  <si>
    <t xml:space="preserve">Bangladeshi cricket team in South Africa in 2026–27</t>
  </si>
  <si>
    <t xml:space="preserve">Bilateral series · 3 matches between 2 nations</t>
  </si>
  <si>
    <t xml:space="preserve">What's already effectively decided
The USA have already secured the host quota place — they were ranked 13th as of 30 June 2026, satisfying the top-15 requirement on the first day of the window. Once met, the criterion can't be un-met, so no future result affects that place. 
Wikipedia
The four continental berths go to the highest-ranked eligible team from Africa, Asia, Europe and Oceania on 31 December 2026. As things stand:
Continent        Leader        Nearest challenger        Realistically live?
Asia        India (1st)        Pakistan (~7th)        No
Europe        England (~2nd)        Ireland (~12th)        No
Africa        South Africa (~5th)        Zimbabwe (~11th)        No
Oceania        Australia (~3rd)        New Zealand (~4th)        Yes, marginally
So the only future matches with any bearing on the direct places are Australia's and New Zealand's remaining T20Is before 31 December. Anything that reverses their order flips the Oceania berth — and, knock-on, changes who sits at the top of the Olympics Qualifier field.
Where future results genuinely bite: the Qualifier cut-line
With India, England, Australia, South Africa and the USA out of the pool, the other seven Olympics Qualifier places go to the next highest-ranked teams on the rankings. Working down from the May 2026 annual update — Bangladesh 8th, Sri Lanka 9th, Afghanistan 10th, Zimbabwe 11th, Ireland 12th, USA 13th, Netherlands 14th, Scotland 15th, Namibia 16th, Nepal 17th, UAE 18th, Oman 19th, Canada 20th, Italy 23rd — the eight slots run out at roughly Ireland. Two consequences: 
ICC
ICC
West Indies sit inside that band, which means the Caribbean Qualifier is all but certain to be triggered to determine which Caribbean NOC takes the slot. 
ICC
The bubble is Ireland / Netherlands / Scotland, with Zimbabwe just above it. These are the teams for whom every remaining T20I in 2026 is an Olympic qualifying match in all but name.
The actual fixtures that matter, Aug–31 Dec 2026
Bilateral T20Is are the main lever, and the confirmed ones involving teams near a cut-line include Sri Lanka's three T20Is in England (15–27 September), India's three in Bangladesh (1–13 September), five T20Is between India and the West Indies (27 September – 17 October), and three between South Africa and Bangladesh (15 November – 13 December). For the associates, self-arranged tri-series and tours are the only realistic way to move ratings — the 2026–27 associate season runs from roughly October 2026. 
Wikipedia + 4
Asian Games 2026 (Aichi–Nagoya, 19 September – 4 October) is worth watching if the matches carry T20I status as they have at previous editions — it would put Nepal, UAE, Oman and Hong Kong in competitive fixtures inside the window. 
Olympics
2028 T20 World Cup regional finals are the wildcard. The Europe regional final (Netherlands, Scotland, Italy), Africa (Namibia), Asia (Nepal, Oman, UAE), EAP (PNG) and Americas (USA, Canada, Cayman Islands) all put bubble teams against each other over multiple T20Is. Dates haven't been published — the 2028 qualification programme runs into 2027, and in the last cycle the regional finals fell roughly 4–8 months before the World Cup. If they land in 2026 they are the single biggest ranking event for the Netherlands/Scotland/Ireland fight; if they slip to 2027, they are Olympically irrelevant. 
Wikipedia</t>
  </si>
  <si>
    <t xml:space="preserve">cricket-at-the-2026-asian-games-men-s-tournament</t>
  </si>
  <si>
    <t xml:space="preserve">Cricket at the 2026 Asian Games – Men's tournament</t>
  </si>
  <si>
    <t xml:space="preserve">cricket-at-the-2026-asian-games-women-s-tournament</t>
  </si>
  <si>
    <t xml:space="preserve">Cricket at the 2026 Asian Games – Women's tournament</t>
  </si>
  <si>
    <t xml:space="preserve">The women's picture is nearly the mirror image of the men's: the four direct places are gone and can't change, but the host place is genuinely live — and unlike the USA men, the USA women are nowhere near clearing it.
What the ranking still decides
Australia, Great Britain, India and South Africa are already in via the Women's T20 World Cup 2026, so no future result touches those four. The ranking now governs only two things: 
ICC
The fifth place. The USA take it as hosts if they appear in the top 15 of the women's T20I rankings at any point between 30 June and 31 December 2026. If they don't, it goes to the highest-placed non-qualified nation from any continent as of 1 March 2027. 
ICC
ICC
The eight-team ICC Olympics Qualifier field, filled by the next highest-ranked teams excluding those already qualified, allocated at the 1 March 2027 close. 
ICC
Note the two different clocks: the host test closes 31 December 2026, everything else runs to 1 March 2027 — two extra months of fixtures for the bubble teams.
Where the cut-lines sit
Post-World Cup the order runs Australia, England, India, New Zealand, South Africa, then Sri Lanka sixth on 238 points and Pakistan eighth on 210, with the West Indies seventh, and Ireland ninth with Bangladesh a point behind. That produces: 
Wisden + 2
The fifth place is New Zealand's by default if the USA miss out — they sit fourth and are the highest-ranked eligible team not already qualified.
The Qualifier cut-line falls around 12th–13th, meaning Scotland, the Netherlands, Zimbabwe, Thailand and Nepal are the teams actually fighting for the last one or two berths.
The West Indies at seventh are comfortably inside the eight, so the Caribbean Qualifier is all but certain to be triggered. 
ICC
And the two questions interact: if the USA do reach the top 15, New Zealand drops into the Qualifier pool, everyone shifts down one, and one bubble team loses its place. So the USA's climb is worth watching even if you don't care about the USA.
The USA problem. They moved from 22nd to 20th at the May 2026 annual update. Their Challenge Trophy win in Kigali (18 April – 1 May 2026) is already priced into that position, since it came before the window opened. They need five places in five months, with no marquee fixtures scheduled. 
ICC
Wikipedia
The fixtures that actually matter, now to 1 March 2027
Sri Lanka v Pakistan T20Is, under way — sixth against eighth, both fighting for Qualifier seeding.
Asian Games 2026, women's tournament — 17 to 22 September at Kōrogi Sports Park in Aichi, eight teams, straight knockout, seeded on the ICC Women's T20I rankings of 23 July 2026. It puts India, Pakistan, Bangladesh, Nepal, UAE, Thailand, Malaysia and hosts Japan into competitive matches inside the window, though the knockout format means very few games each. 
Wikipedia
South Africa's three T20Is in Zimbabwe, 11–19 September 2026. High leverage for Zimbabwe: rating points against a top-five side are the fastest way off the bubble. 
Wikipedia
ICC Women's Emerging Nations Trophy, November 2026, plus the associate tri- and quadrangular series that make up the 2026–27 associate season from around October 2026. These are essentially the only route for the USA, Nepal, Thailand and Scotland-tier sides — and the only way marginal teams meet the eight-match minimum needed to stay ranked at all. 
Wikipedia
Wikipedia
Bilateral T20I series through February 2027 involving Ireland, Scotland, the Netherlands, Bangladesh, Zimbabwe and Pakistan. As with the men, this is the biggest single lever, and boards near the cut-line have an obvious incentive to schedule.</t>
  </si>
  <si>
    <t xml:space="preserve">eurobasket-women-2027</t>
  </si>
  <si>
    <t xml:space="preserve">EuroBasket Women 2027</t>
  </si>
  <si>
    <t xml:space="preserve">2027-06-16</t>
  </si>
  <si>
    <t xml:space="preserve">2027-06-27</t>
  </si>
  <si>
    <t xml:space="preserve">Belgium, Finland, Sweden, Lithuania. The six best classified teams enter the FWOQT — reduced to five if the FWOPQT winner is European.</t>
  </si>
  <si>
    <t xml:space="preserve">eurobasket-women-2027-qualification</t>
  </si>
  <si>
    <t xml:space="preserve">EuroBasket Women 2027 qualification</t>
  </si>
  <si>
    <t xml:space="preserve">2026-11-01</t>
  </si>
  <si>
    <t xml:space="preserve">Sets the EuroBasket Women 2027 field, which in turn supplies six FWOQT places. Three hops from a berth.</t>
  </si>
  <si>
    <t xml:space="preserve">fiba-eurobasket-2029-pre-qualifiers-second-round</t>
  </si>
  <si>
    <t xml:space="preserve">FIBA EuroBasket 2029 Pre-Qualifiers Second Round</t>
  </si>
  <si>
    <t xml:space="preserve">NOT an Olympic tournament, but the most consequential near-term men’s competition. Played by teams that did NOT reach the second round of the FBWC 2027 Qualifiers — exactly the pool from which the 7 ranking-based FOPQT places are drawn on the March 2027 FIBA Ranking. Results here move that ranking.</t>
  </si>
  <si>
    <t xml:space="preserve">fiba-olympic-pre-qualifying-tournament-2027-for-africa</t>
  </si>
  <si>
    <t xml:space="preserve">FIBA Olympic Pre-Qualifying Tournament 2027 for Africa</t>
  </si>
  <si>
    <t xml:space="preserve">2027-08-14</t>
  </si>
  <si>
    <t xml:space="preserve">2027-08-22</t>
  </si>
  <si>
    <t xml:space="preserve">6 teams · format set by FIBA Central Board</t>
  </si>
  <si>
    <t xml:space="preserve">One of four regional FOPQTs. Africa sends 1 team on to the FOQT 2028. Format set by the FIBA Central Board.</t>
  </si>
  <si>
    <t xml:space="preserve">fiba-olympic-pre-qualifying-tournament-2027-for-americas</t>
  </si>
  <si>
    <t xml:space="preserve">FIBA Olympic Pre-Qualifying Tournament 2027 for Americas</t>
  </si>
  <si>
    <t xml:space="preserve">Americas sends 1 team on to the FOQT 2028.</t>
  </si>
  <si>
    <t xml:space="preserve">fiba-olympic-pre-qualifying-tournament-2027-for-asia</t>
  </si>
  <si>
    <t xml:space="preserve">FIBA Olympic Pre-Qualifying Tournament 2027 for Asia</t>
  </si>
  <si>
    <t xml:space="preserve">Asia including Oceania sends 1 team on to the FOQT 2028.</t>
  </si>
  <si>
    <t xml:space="preserve">fiba-women-s-afrobasket-2027-qualifiers</t>
  </si>
  <si>
    <t xml:space="preserve">FIBA Women's AfroBasket 2027 Qualifiers</t>
  </si>
  <si>
    <t xml:space="preserve">Sets the Women’s AfroBasket 2027 field, which supplies two FWOQT places.</t>
  </si>
  <si>
    <t xml:space="preserve">fiba-women-s-americup-2027-south-american-qualifier</t>
  </si>
  <si>
    <t xml:space="preserve">FIBA Women's AmeriCup 2027 South American Qualifier</t>
  </si>
  <si>
    <t xml:space="preserve">2026-08-03</t>
  </si>
  <si>
    <t xml:space="preserve">2026-08-06</t>
  </si>
  <si>
    <t xml:space="preserve">7 teams · groups, single round-robin</t>
  </si>
  <si>
    <t xml:space="preserve">South American qualifier for the FIBA Women’s AmeriCup 2027, which supplies four FWOQT places.</t>
  </si>
  <si>
    <t xml:space="preserve">indian-cricket-team-in-bangladesh-in-2026</t>
  </si>
  <si>
    <t xml:space="preserve">Indian cricket team in Bangladesh in 2026</t>
  </si>
  <si>
    <t xml:space="preserve">pakistan-women-s-cricket-team-in-sri-lanka-in-2026</t>
  </si>
  <si>
    <t xml:space="preserve">Pakistan women's cricket team in Sri Lanka in 2026</t>
  </si>
  <si>
    <t xml:space="preserve">south-africa-women-s-cricket-team-in-zimbabwe-in-2026</t>
  </si>
  <si>
    <t xml:space="preserve">South Africa women's cricket team in Zimbabwe in 2026</t>
  </si>
  <si>
    <t xml:space="preserve">Bilateral series · 5 matches between 2 nations</t>
  </si>
  <si>
    <t xml:space="preserve">sri-lankan-cricket-team-in-england-in-2026</t>
  </si>
  <si>
    <t xml:space="preserve">Sri Lankan cricket team in England in 2026</t>
  </si>
  <si>
    <t xml:space="preserve">two-fiba-olympic-pre-qualifying-tournaments-2027-for-europe</t>
  </si>
  <si>
    <t xml:space="preserve">Two FIBA Olympic Pre-Qualifying Tournaments 2027 for Europe</t>
  </si>
  <si>
    <t xml:space="preserve">16 European teams · two tournaments, format set by FIBA Central Board</t>
  </si>
  <si>
    <t xml:space="preserve">Europe runs TWO pre-qualifying tournaments and sends 2 teams on to the FOQT 2028 — 16 of the 34 FOPQT entrants are European.</t>
  </si>
  <si>
    <t xml:space="preserve">west-indian-cricket-team-in-india-in-202627</t>
  </si>
  <si>
    <t xml:space="preserve">West Indian cricket team in India in 2026–27</t>
  </si>
  <si>
    <t xml:space="preserve">uefa-u21-euro-2027-playoffs</t>
  </si>
  <si>
    <t xml:space="preserve">2027 UEFA U21 Championship qualifying play-offs</t>
  </si>
  <si>
    <t xml:space="preserve">2026-11-09</t>
  </si>
  <si>
    <t xml:space="preserve">2026-11-17</t>
  </si>
  <si>
    <t xml:space="preserve">8 teams · four two-legged ties</t>
  </si>
  <si>
    <t xml:space="preserve">https://www.uefa.com/</t>
  </si>
  <si>
    <t xml:space="preserve">UEFA 2026 calendar</t>
  </si>
  <si>
    <t xml:space="preserve">FROM_UEFA</t>
  </si>
  <si>
    <t xml:space="preserve">The eight group runners-up who did not take the best-runner-up place contest four two-legged ties for the final four places at the U21 Euro 2027. A missing node until now: a team can fail to win its group and still reach the tournament that awards three Olympic berths.</t>
  </si>
  <si>
    <t xml:space="preserve">link_id</t>
  </si>
  <si>
    <t xml:space="preserve">from_id</t>
  </si>
  <si>
    <t xml:space="preserve">from_type</t>
  </si>
  <si>
    <t xml:space="preserve">to_id</t>
  </si>
  <si>
    <t xml:space="preserve">to_type</t>
  </si>
  <si>
    <t xml:space="preserve">relationship</t>
  </si>
  <si>
    <t xml:space="preserve">berths</t>
  </si>
  <si>
    <t xml:space="preserve">qualifiers</t>
  </si>
  <si>
    <t xml:space="preserve">criterion</t>
  </si>
  <si>
    <t xml:space="preserve">qualifiers_note</t>
  </si>
  <si>
    <t xml:space="preserve">entry_condition</t>
  </si>
  <si>
    <t xml:space="preserve">berth_math</t>
  </si>
  <si>
    <t xml:space="preserve">eligibility_note</t>
  </si>
  <si>
    <t xml:space="preserve">cascade_order</t>
  </si>
  <si>
    <t xml:space="preserve">gate_ranking_id</t>
  </si>
  <si>
    <t xml:space="preserve">cut_line_id</t>
  </si>
  <si>
    <t xml:space="preserve">check</t>
  </si>
  <si>
    <t xml:space="preserve">fen-001</t>
  </si>
  <si>
    <t xml:space="preserve">COMPETITION</t>
  </si>
  <si>
    <t xml:space="preserve">fie-senior-team-ranking</t>
  </si>
  <si>
    <t xml:space="preserve">RANKING</t>
  </si>
  <si>
    <t xml:space="preserve">RANKING_POINTS</t>
  </si>
  <si>
    <t xml:space="preserve">Awards points to the Senior Team Ranking</t>
  </si>
  <si>
    <t xml:space="preserve">fen-002</t>
  </si>
  <si>
    <t xml:space="preserve">fen-003</t>
  </si>
  <si>
    <t xml:space="preserve">fen-004</t>
  </si>
  <si>
    <t xml:space="preserve">fie-individual-senior-aor</t>
  </si>
  <si>
    <t xml:space="preserve">Awards points to the Individual Official Ranking (AOR base)</t>
  </si>
  <si>
    <t xml:space="preserve">fen-005</t>
  </si>
  <si>
    <t xml:space="preserve">fen-006</t>
  </si>
  <si>
    <t xml:space="preserve">fen-007</t>
  </si>
  <si>
    <t xml:space="preserve">fen-008</t>
  </si>
  <si>
    <t xml:space="preserve">fen-009</t>
  </si>
  <si>
    <t xml:space="preserve">OLYMPIC_EVENT</t>
  </si>
  <si>
    <t xml:space="preserve">RANKING_CUTOFF</t>
  </si>
  <si>
    <t xml:space="preserve">Top 4 teams for this weapon in the FIE Senior Team Ranking of 1 Apr 2028, any zone</t>
  </si>
  <si>
    <t xml:space="preserve">fen-010</t>
  </si>
  <si>
    <t xml:space="preserve">RANKING_CUTOFF_BY_ZONE</t>
  </si>
  <si>
    <t xml:space="preserve">Highest-ranked team from each of the 4 FIE zones among ranks 5–24</t>
  </si>
  <si>
    <t xml:space="preserve">If a zone has no team in ranks 5–24, the place goes to the next highest-ranked team overall, irrespective of zone.</t>
  </si>
  <si>
    <t xml:space="preserve">fen-011</t>
  </si>
  <si>
    <t xml:space="preserve">Top 2 eligible athletes in the Individual Senior AOR</t>
  </si>
  <si>
    <t xml:space="preserve">10 individual places per weapon, but the 24 team-qualified athletes also compete in the individual event without holding one of these 10. The individual field is 34–37 while the individual quota is 10.</t>
  </si>
  <si>
    <t xml:space="preserve">Max 1 athlete per NOC per weapon. AOR already excludes NOCs qualified via team.</t>
  </si>
  <si>
    <t xml:space="preserve">fen-012</t>
  </si>
  <si>
    <t xml:space="preserve">Highest-ranked eligible athlete from each of the 4 zones in the AOR by zone</t>
  </si>
  <si>
    <t xml:space="preserve">Only if your NOC has NOT already qualified in this weapon at an earlier cascade stage.</t>
  </si>
  <si>
    <t xml:space="preserve">Open ONLY to NOCs with no athlete qualified for this weapon via team qualification or the Individual Senior AOR. Max 1 per NOC per weapon.</t>
  </si>
  <si>
    <t xml:space="preserve">fen-013</t>
  </si>
  <si>
    <t xml:space="preserve">PLACING_ELIGIBLE</t>
  </si>
  <si>
    <t xml:space="preserve">Winner from the Europe zonal qualifying event</t>
  </si>
  <si>
    <t xml:space="preserve">Open ONLY to NOCs with no athlete qualified for this weapon via team qualification, the Individual Senior AOR, or the AOR by zone. Max 1 per NOC per weapon.</t>
  </si>
  <si>
    <t xml:space="preserve">fen-014</t>
  </si>
  <si>
    <t xml:space="preserve">Winner from the Asia-Oceania zonal qualifying event</t>
  </si>
  <si>
    <t xml:space="preserve">fen-015</t>
  </si>
  <si>
    <t xml:space="preserve">Winner from the the Americas zonal qualifying event</t>
  </si>
  <si>
    <t xml:space="preserve">fen-016</t>
  </si>
  <si>
    <t xml:space="preserve">Winner from the Africa zonal qualifying event</t>
  </si>
  <si>
    <t xml:space="preserve">fen-017</t>
  </si>
  <si>
    <t xml:space="preserve">fen-018</t>
  </si>
  <si>
    <t xml:space="preserve">fen-019</t>
  </si>
  <si>
    <t xml:space="preserve">fen-020</t>
  </si>
  <si>
    <t xml:space="preserve">fen-021</t>
  </si>
  <si>
    <t xml:space="preserve">fen-022</t>
  </si>
  <si>
    <t xml:space="preserve">fen-023</t>
  </si>
  <si>
    <t xml:space="preserve">fen-024</t>
  </si>
  <si>
    <t xml:space="preserve">fen-025</t>
  </si>
  <si>
    <t xml:space="preserve">fen-026</t>
  </si>
  <si>
    <t xml:space="preserve">fen-027</t>
  </si>
  <si>
    <t xml:space="preserve">fen-028</t>
  </si>
  <si>
    <t xml:space="preserve">fen-029</t>
  </si>
  <si>
    <t xml:space="preserve">fen-030</t>
  </si>
  <si>
    <t xml:space="preserve">fen-031</t>
  </si>
  <si>
    <t xml:space="preserve">fen-032</t>
  </si>
  <si>
    <t xml:space="preserve">fen-033</t>
  </si>
  <si>
    <t xml:space="preserve">fen-034</t>
  </si>
  <si>
    <t xml:space="preserve">fen-035</t>
  </si>
  <si>
    <t xml:space="preserve">fen-036</t>
  </si>
  <si>
    <t xml:space="preserve">fen-037</t>
  </si>
  <si>
    <t xml:space="preserve">fen-038</t>
  </si>
  <si>
    <t xml:space="preserve">fen-039</t>
  </si>
  <si>
    <t xml:space="preserve">fen-040</t>
  </si>
  <si>
    <t xml:space="preserve">fen-041</t>
  </si>
  <si>
    <t xml:space="preserve">fen-042</t>
  </si>
  <si>
    <t xml:space="preserve">fen-043</t>
  </si>
  <si>
    <t xml:space="preserve">fen-044</t>
  </si>
  <si>
    <t xml:space="preserve">fen-045</t>
  </si>
  <si>
    <t xml:space="preserve">fen-046</t>
  </si>
  <si>
    <t xml:space="preserve">fen-047</t>
  </si>
  <si>
    <t xml:space="preserve">fen-048</t>
  </si>
  <si>
    <t xml:space="preserve">fen-049</t>
  </si>
  <si>
    <t xml:space="preserve">fen-050</t>
  </si>
  <si>
    <t xml:space="preserve">fen-051</t>
  </si>
  <si>
    <t xml:space="preserve">fen-052</t>
  </si>
  <si>
    <t xml:space="preserve">fen-053</t>
  </si>
  <si>
    <t xml:space="preserve">fen-054</t>
  </si>
  <si>
    <t xml:space="preserve">fen-055</t>
  </si>
  <si>
    <t xml:space="preserve">fen-056</t>
  </si>
  <si>
    <t xml:space="preserve">fen-057</t>
  </si>
  <si>
    <t xml:space="preserve">HOST_USA</t>
  </si>
  <si>
    <t xml:space="preserve">ALLOCATION</t>
  </si>
  <si>
    <t xml:space="preserve">HOST</t>
  </si>
  <si>
    <t xml:space="preserve">Host NOC allocated 6 places, distributed between team and individual events as it sees fit</t>
  </si>
  <si>
    <t xml:space="preserve">If host adds a team: 2 places if it already has 1 qualified athlete in the corresponding individual event, 3 if none. Host confirms by 19 May 2028.</t>
  </si>
  <si>
    <t xml:space="preserve">fen-058</t>
  </si>
  <si>
    <t xml:space="preserve">TRIPARTITE</t>
  </si>
  <si>
    <t xml:space="preserve">2 universality places, one per gender</t>
  </si>
  <si>
    <t xml:space="preserve">IOC invites 1 Oct 2027; NOC deadline 15 Jan 2028; Tripartite confirms after the qualification period.</t>
  </si>
  <si>
    <t xml:space="preserve">D.4</t>
  </si>
  <si>
    <t xml:space="preserve">cri-001</t>
  </si>
  <si>
    <t xml:space="preserve">icc-mens-t20i-team-ranking</t>
  </si>
  <si>
    <t xml:space="preserve">Highest-ranked eligible NOC from Africa, Asia, Europe and Oceania at 31 Dec 2026, provided each is inside the top 15</t>
  </si>
  <si>
    <t xml:space="preserve">On the 25 Jul 2026 table: India (Asia), England (Europe), Australia (Oceania), South Africa (Africa). All four are top-5, so none of these places is currently contested — the live action is at the Olympics Qualifier cut around rank 12.</t>
  </si>
  <si>
    <t xml:space="preserve">RESOLVED: the ICC names the four continents — Africa, Asia, Europe, Oceania. The Americas is excluded from this route and covered by the host place instead. West Indies cannot hold a quota place; among the British nations only England counts.</t>
  </si>
  <si>
    <t xml:space="preserve">FROM_ICC</t>
  </si>
  <si>
    <t xml:space="preserve">icc-m-continental-4</t>
  </si>
  <si>
    <t xml:space="preserve">cri-002</t>
  </si>
  <si>
    <t xml:space="preserve">Host nation place, conditional on a ranking test</t>
  </si>
  <si>
    <t xml:space="preserve">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</si>
  <si>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 xml:space="preserve">D.2, F.2, H</t>
  </si>
  <si>
    <t xml:space="preserve">icc-m-host-top15</t>
  </si>
  <si>
    <t xml:space="preserve">cri-003</t>
  </si>
  <si>
    <t xml:space="preserve">RANKING_TO_EVENT</t>
  </si>
  <si>
    <t xml:space="preserve">Next eight highest-ranked eligible teams not yet qualified, allocated at the 31 Dec 2026 close — sets the FOGQT field</t>
  </si>
  <si>
    <t xml:space="preserve">Only if NOT already qualified. The next eight highest-ranked eligible teams after the four continental places and the host place are taken.</t>
  </si>
  <si>
    <t xml:space="preserve">Next eight highest-ranked eligible teams not yet qualified | Does not award a quota place; fills the tournament. West Indies DOES count toward these eight even though it cannot hold a quota place — if it lands inside, the regional tournament is triggered.</t>
  </si>
  <si>
    <t xml:space="preserve">icc-m-fogqt-8</t>
  </si>
  <si>
    <t xml:space="preserve">cri-004</t>
  </si>
  <si>
    <t xml:space="preserve">ADVANCE</t>
  </si>
  <si>
    <t xml:space="preserve">Winner represents the West Indies region at the men’s FOGQT</t>
  </si>
  <si>
    <t xml:space="preserve">Only if West Indies lands inside the eight — otherwise this tournament never happens.</t>
  </si>
  <si>
    <t xml:space="preserve">Conditional edge. Only live if West Indies is inside the eight highest-ranked not-yet-qualified teams at 31 Dec 2026.</t>
  </si>
  <si>
    <t xml:space="preserve">cri-005</t>
  </si>
  <si>
    <t xml:space="preserve">PLACING</t>
  </si>
  <si>
    <t xml:space="preserve">Winner of the men’s FOGQT takes the final quota place</t>
  </si>
  <si>
    <t xml:space="preserve">8 teams enter, 1 qualifies. Winner takes all.</t>
  </si>
  <si>
    <t xml:space="preserve">No maximum limit on continental representation applies at this stage.</t>
  </si>
  <si>
    <t xml:space="preserve">cri-006</t>
  </si>
  <si>
    <t xml:space="preserve">Top-standing eligible NOC from each continent at the ICC Women’s T20 World Cup 2026, four teams in total</t>
  </si>
  <si>
    <t xml:space="preserve">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</si>
  <si>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 xml:space="preserve">AMBIGUOUS</t>
  </si>
  <si>
    <t xml:space="preserve">cri-007</t>
  </si>
  <si>
    <t xml:space="preserve">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</si>
  <si>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 xml:space="preserve">icc-womens-t20i-team-ranking</t>
  </si>
  <si>
    <t xml:space="preserve">D.5, F.2, H</t>
  </si>
  <si>
    <t xml:space="preserve">icc-w-host-top15</t>
  </si>
  <si>
    <t xml:space="preserve">cri-008</t>
  </si>
  <si>
    <t xml:space="preserve">Next eight highest-ranked eligible teams not yet qualified, allocated at the 1 March 2027 close — sets the FOGQT field</t>
  </si>
  <si>
    <t xml:space="preserve">Only if NOT already qualified. The next eight highest-ranked eligible teams after the World Cup places and the host place are taken.</t>
  </si>
  <si>
    <t xml:space="preserve">Next eight highest-ranked eligible teams not yet qualified | Does not award a quota place. West Indies counts toward the eight; if inside, the regional tournament is triggered.</t>
  </si>
  <si>
    <t xml:space="preserve">icc-w-fogqt-8</t>
  </si>
  <si>
    <t xml:space="preserve">cri-009</t>
  </si>
  <si>
    <t xml:space="preserve">Winner represents the West Indies region at the women’s FOGQT</t>
  </si>
  <si>
    <t xml:space="preserve">Conditional edge. Only live if West Indies is inside the eight at 1 March 2027.</t>
  </si>
  <si>
    <t xml:space="preserve">cri-010</t>
  </si>
  <si>
    <t xml:space="preserve">Winner of the women’s FOGQT takes the final quota place</t>
  </si>
  <si>
    <t xml:space="preserve">No cap on continental representation.</t>
  </si>
  <si>
    <t xml:space="preserve">cri-011</t>
  </si>
  <si>
    <t xml:space="preserve">T20I matches award rating points toward the men’s ranking</t>
  </si>
  <si>
    <t xml:space="preserve">Counts only if played on or before 31 Dec 2026.</t>
  </si>
  <si>
    <t xml:space="preserve">D.1, H</t>
  </si>
  <si>
    <t xml:space="preserve">cri-012</t>
  </si>
  <si>
    <t xml:space="preserve">cri-013</t>
  </si>
  <si>
    <t xml:space="preserve">cri-014</t>
  </si>
  <si>
    <t xml:space="preserve">cri-015</t>
  </si>
  <si>
    <t xml:space="preserve">cri-016</t>
  </si>
  <si>
    <t xml:space="preserve">T20I matches award rating points toward the women’s ranking</t>
  </si>
  <si>
    <t xml:space="preserve">Counts only if played on or before 1 March 2027.</t>
  </si>
  <si>
    <t xml:space="preserve">cri-017</t>
  </si>
  <si>
    <t xml:space="preserve">cri-018</t>
  </si>
  <si>
    <t xml:space="preserve">cri-019</t>
  </si>
  <si>
    <t xml:space="preserve">fbl-001</t>
  </si>
  <si>
    <t xml:space="preserve">Host nation</t>
  </si>
  <si>
    <t xml:space="preserve">United States, already qualified.</t>
  </si>
  <si>
    <t xml:space="preserve">fbl-002</t>
  </si>
  <si>
    <t xml:space="preserve">Top 3 eligible teams at the 2027 UEFA U21 Championship</t>
  </si>
  <si>
    <t xml:space="preserve">3 places from 16 teams, but only among ELIGIBLE teams. England, Scotland, Wales and Northern Ireland play the tournament and cannot take a berth, so a top-three finish does not guarantee one — and England have won the last two editions.</t>
  </si>
  <si>
    <t xml:space="preserve">England, Scotland, Wales and Northern Ireland compete but cannot take an Olympic berth — there is no standing Great Britain men’s team. England have won the last two editions, so this filter is load-bearing, not a footnote.</t>
  </si>
  <si>
    <t xml:space="preserve">fbl-003</t>
  </si>
  <si>
    <t xml:space="preserve">Top 2 at the 2028 AFC U-23 Asian Cup</t>
  </si>
  <si>
    <t xml:space="preserve">Format unannounced; placing rule assumed from the berth count.</t>
  </si>
  <si>
    <t xml:space="preserve">fbl-004</t>
  </si>
  <si>
    <t xml:space="preserve">Top 2 at the 2027 U-23 Africa Cup of Nations</t>
  </si>
  <si>
    <t xml:space="preserve">fbl-005</t>
  </si>
  <si>
    <t xml:space="preserve">The winner of the 2026 CONCACAF U-20 Championship qualifies</t>
  </si>
  <si>
    <t xml:space="preserve">1 berth from 12 teams. Separately, the four semi-finalists qualify for the 2027 FIFA U-20 World Cup — the same matches decide two different things.</t>
  </si>
  <si>
    <t xml:space="preserve">CONDITIONAL: the United States is already qualified as Olympic host. Should the USA win the tournament, the Olympic berth passes to the runner-up. The USA topped Group A with a 5-0 win over Cuba, so this is live.</t>
  </si>
  <si>
    <t xml:space="preserve">FROM_CONCACAF</t>
  </si>
  <si>
    <t xml:space="preserve">fbl-006</t>
  </si>
  <si>
    <t xml:space="preserve">CONMEBOL’s 2 berths</t>
  </si>
  <si>
    <t xml:space="preserve">Process not announced.</t>
  </si>
  <si>
    <t xml:space="preserve">fbl-007</t>
  </si>
  <si>
    <t xml:space="preserve">OFC’s single berth</t>
  </si>
  <si>
    <t xml:space="preserve">fbl-008</t>
  </si>
  <si>
    <t xml:space="preserve">Nine group winners plus the best runner-up qualify directly, joining co-hosts Albania and Serbia</t>
  </si>
  <si>
    <t xml:space="preserve">Plus co-hosts Albania and Serbia = 16</t>
  </si>
  <si>
    <t xml:space="preserve">fbl-009</t>
  </si>
  <si>
    <t xml:space="preserve">Sets the 2026 CONCACAF U-20 Championship field</t>
  </si>
  <si>
    <t xml:space="preserve">Count not confirmed — verify with CONCACAF</t>
  </si>
  <si>
    <t xml:space="preserve">fbl-010</t>
  </si>
  <si>
    <t xml:space="preserve">fbl-011</t>
  </si>
  <si>
    <t xml:space="preserve">The four semi-finalists of the 2027 UEFA Women’s Nations League qualify</t>
  </si>
  <si>
    <t xml:space="preserve">4 berths from the four semi-finalists. Only League A group winners reach the Nations League Finals, so League A status in the 2027 Nations League — set by the 2026 European Qualifiers — is a precondition.</t>
  </si>
  <si>
    <t xml:space="preserve">RESOLVED: earlier flagged as ambiguous. Wikipedia’s qualification article states the Olympic qualifiers are the four Nations League semi-finalists, so reaching the last four is the threshold — the Finals placings do not matter beyond that.</t>
  </si>
  <si>
    <t xml:space="preserve">fbl-012</t>
  </si>
  <si>
    <t xml:space="preserve">Two finalists plus the third-place play-off winner at the 2026 CONCACAF W Championship</t>
  </si>
  <si>
    <t xml:space="preserve">3 places, but which placings convert depends on the host. Normally the two finalists plus the third-place play-off winner. If the USA — already qualified as host — reaches the semi-finals, the three other semi-finalists qualify instead.</t>
  </si>
  <si>
    <t xml:space="preserve">CONDITIONAL: if the USA reach the semi-finals, the three other semi-finalists qualify instead. The host being in the field changes which placings convert to berths — a rule the app cannot resolve until the draw plays out.</t>
  </si>
  <si>
    <t xml:space="preserve">CONDITIONAL_RULE</t>
  </si>
  <si>
    <t xml:space="preserve">fbl-013</t>
  </si>
  <si>
    <t xml:space="preserve">The two group winners at the 2028 AFC Women’s Olympic Qualifying Tournament</t>
  </si>
  <si>
    <t xml:space="preserve">Two groups of four, league format.</t>
  </si>
  <si>
    <t xml:space="preserve">fbl-014</t>
  </si>
  <si>
    <t xml:space="preserve">The two fifth-round winners take Africa’s places</t>
  </si>
  <si>
    <t xml:space="preserve">Home-and-away ties throughout.</t>
  </si>
  <si>
    <t xml:space="preserve">fbl-015</t>
  </si>
  <si>
    <t xml:space="preserve">Both finalists of the 2025 Copa América Femenina</t>
  </si>
  <si>
    <t xml:space="preserve">Settled: Brazil and Colombia. Nothing can change these two.</t>
  </si>
  <si>
    <t xml:space="preserve">fbl-016</t>
  </si>
  <si>
    <t xml:space="preserve">Format unannounced.</t>
  </si>
  <si>
    <t xml:space="preserve">fbl-017</t>
  </si>
  <si>
    <t xml:space="preserve">PLAYOFF</t>
  </si>
  <si>
    <t xml:space="preserve">Winner of the AFC–CONMEBOL play-off</t>
  </si>
  <si>
    <t xml:space="preserve">Decides the sixteenth and final place.</t>
  </si>
  <si>
    <t xml:space="preserve">fbl-018</t>
  </si>
  <si>
    <t xml:space="preserve">The eight quarter-finalists form the AFC qualifying field</t>
  </si>
  <si>
    <t xml:space="preserve">The eight quarter-finalists | Reaching the quarter-finals is the actual entry point to the Asian Olympic route.</t>
  </si>
  <si>
    <t xml:space="preserve">fbl-019</t>
  </si>
  <si>
    <t xml:space="preserve">One AFC team advances via a home-and-away tie</t>
  </si>
  <si>
    <t xml:space="preserve">Two teams beyond the group winners play off for the AFC play-off slot.</t>
  </si>
  <si>
    <t xml:space="preserve">fbl-020</t>
  </si>
  <si>
    <t xml:space="preserve">The third-placed team takes CONMEBOL’s play-off slot</t>
  </si>
  <si>
    <t xml:space="preserve">The third-placed team | Argentina finished third in 2025.</t>
  </si>
  <si>
    <t xml:space="preserve">fbl-021</t>
  </si>
  <si>
    <t xml:space="preserve">Final league rankings set the 2027 Nations League A/B/C composition</t>
  </si>
  <si>
    <t xml:space="preserve">No count — final rankings set League A/B/C composition rather than advancing a fixed number</t>
  </si>
  <si>
    <t xml:space="preserve">Only League A group winners reach the Nations League Finals, so League A placement is a precondition for the European Olympic route.</t>
  </si>
  <si>
    <t xml:space="preserve">fbl-022</t>
  </si>
  <si>
    <t xml:space="preserve">Round 1 winners advance to Round 2</t>
  </si>
  <si>
    <t xml:space="preserve">Two-legged ties.</t>
  </si>
  <si>
    <t xml:space="preserve">fbl-023</t>
  </si>
  <si>
    <t xml:space="preserve">Round 2 winners advance to Round 3</t>
  </si>
  <si>
    <t xml:space="preserve">fbl-024</t>
  </si>
  <si>
    <t xml:space="preserve">Round 3 winners advance to Round 4</t>
  </si>
  <si>
    <t xml:space="preserve">fbl-025</t>
  </si>
  <si>
    <t xml:space="preserve">Round 4 winners advance to Round 5</t>
  </si>
  <si>
    <t xml:space="preserve">bkb-001</t>
  </si>
  <si>
    <t xml:space="preserve">Host country place</t>
  </si>
  <si>
    <t xml:space="preserve">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</si>
  <si>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 xml:space="preserve">D.1.1, F.2</t>
  </si>
  <si>
    <t xml:space="preserve">bkb-002</t>
  </si>
  <si>
    <t xml:space="preserve">Best team from each continent at the FBWC 2027: Africa 1, Americas 2, Asia 1, Europe 2, Oceania 1</t>
  </si>
  <si>
    <t xml:space="preserve">7 places from 32 teams, but allocated by continent (Africa 1, Americas 2, Asia 1, Europe 2, Oceania 1), not by overall finishing position. A team can finish above another and still miss out if a higher-placed side shares its continent.</t>
  </si>
  <si>
    <t xml:space="preserve">By final official classification. Continental best, not overall placing — a team can finish below another and still qualify if it is the top side from its continent.</t>
  </si>
  <si>
    <t xml:space="preserve">D.1.2</t>
  </si>
  <si>
    <t xml:space="preserve">bkb-003</t>
  </si>
  <si>
    <t xml:space="preserve">Winner of each of the four FOQTs 2028</t>
  </si>
  <si>
    <t xml:space="preserve">24 teams enter, 4 qualify — one winner from each of four six-team tournaments. The harshest conversion rate in the database: 20 of the 24 go home.</t>
  </si>
  <si>
    <t xml:space="preserve">24 teams, four tournaments of six, only the winner of each qualifies. The harshest conversion rate in the database: 24 teams for 4 places.</t>
  </si>
  <si>
    <t xml:space="preserve">D.1.3 B.9</t>
  </si>
  <si>
    <t xml:space="preserve">bkb-004</t>
  </si>
  <si>
    <t xml:space="preserve">Africa qualifiers advance to the FBWC 2027</t>
  </si>
  <si>
    <t xml:space="preserve">5 of 16 African teams reach the World Cup</t>
  </si>
  <si>
    <t xml:space="preserve">bkb-005</t>
  </si>
  <si>
    <t xml:space="preserve">fiba-mens-world-ranking</t>
  </si>
  <si>
    <t xml:space="preserve">Results move the FIBA Men’s World Ranking</t>
  </si>
  <si>
    <t xml:space="preserve">The March 2027 snapshot decides 7 FOPQT places.</t>
  </si>
  <si>
    <t xml:space="preserve">D.1.3 A.1</t>
  </si>
  <si>
    <t xml:space="preserve">bkb-006</t>
  </si>
  <si>
    <t xml:space="preserve">Americas qualifiers advance to the FBWC 2027</t>
  </si>
  <si>
    <t xml:space="preserve">7 of 16 Americas teams reach the World Cup</t>
  </si>
  <si>
    <t xml:space="preserve">bkb-007</t>
  </si>
  <si>
    <t xml:space="preserve">bkb-008</t>
  </si>
  <si>
    <t xml:space="preserve">Asia qualifiers advance to the FBWC 2027</t>
  </si>
  <si>
    <t xml:space="preserve">7 of 16 Asia-Oceania teams, joining pre-qualified host Qatar</t>
  </si>
  <si>
    <t xml:space="preserve">bkb-009</t>
  </si>
  <si>
    <t xml:space="preserve">bkb-010</t>
  </si>
  <si>
    <t xml:space="preserve">Europe qualifiers advance to the FBWC 2027</t>
  </si>
  <si>
    <t xml:space="preserve">12 of 32 European teams reach the World Cup</t>
  </si>
  <si>
    <t xml:space="preserve">bkb-011</t>
  </si>
  <si>
    <t xml:space="preserve">bkb-012</t>
  </si>
  <si>
    <t xml:space="preserve">Played by exactly the teams eligible for the 7 ranking-based FOPQT places — those that missed the FBWC Qualifiers second round. This is the primary lever for that pool between Aug 2026 and Feb 2027.</t>
  </si>
  <si>
    <t xml:space="preserve">bkb-013</t>
  </si>
  <si>
    <t xml:space="preserve">Second-round teams that missed the FBWC enter the Africa FOPQT (6 places)</t>
  </si>
  <si>
    <t xml:space="preserve">Only if you reached the second round of World Cup qualifying but did NOT reach the World Cup itself.</t>
  </si>
  <si>
    <t xml:space="preserve">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</si>
  <si>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 xml:space="preserve">bkb-014</t>
  </si>
  <si>
    <t xml:space="preserve">Highest-ranked teams on the March 2027 FIBA Ranking fill part of the Africa FOPQT field (7 places across all regions)</t>
  </si>
  <si>
    <t xml:space="preserve">7 places shared across all four regions, not split per region</t>
  </si>
  <si>
    <t xml:space="preserve">Only if you did NOT reach the second round of World Cup qualifying. This is the route back in for teams eliminated early.</t>
  </si>
  <si>
    <t xml:space="preserve">7 places shared across all four regions | Drawn ONLY from teams that did not reach the FBWC Qualifiers second round. This is the men’s ranking acting as a primary entry criterion — the women’s ranking never does this.</t>
  </si>
  <si>
    <t xml:space="preserve">bkb-015</t>
  </si>
  <si>
    <t xml:space="preserve">1 team advances from the Africa FOPQT to the FOQT 2028</t>
  </si>
  <si>
    <t xml:space="preserve">D.1.3 A.2</t>
  </si>
  <si>
    <t xml:space="preserve">bkb-016</t>
  </si>
  <si>
    <t xml:space="preserve">Second-round teams that missed the FBWC enter the Americas FOPQT (6 places)</t>
  </si>
  <si>
    <t xml:space="preserve">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</si>
  <si>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 xml:space="preserve">bkb-017</t>
  </si>
  <si>
    <t xml:space="preserve">Highest-ranked teams on the March 2027 FIBA Ranking fill part of the Americas FOPQT field (7 places across all regions)</t>
  </si>
  <si>
    <t xml:space="preserve">bkb-018</t>
  </si>
  <si>
    <t xml:space="preserve">1 team advances from the Americas FOPQT to the FOQT 2028</t>
  </si>
  <si>
    <t xml:space="preserve">bkb-019</t>
  </si>
  <si>
    <t xml:space="preserve">Second-round teams that missed the FBWC enter the Asia FOPQT (6 places)</t>
  </si>
  <si>
    <t xml:space="preserve">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</si>
  <si>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 xml:space="preserve">bkb-020</t>
  </si>
  <si>
    <t xml:space="preserve">Highest-ranked teams on the March 2027 FIBA Ranking fill part of the Asia FOPQT field (7 places across all regions)</t>
  </si>
  <si>
    <t xml:space="preserve">bkb-021</t>
  </si>
  <si>
    <t xml:space="preserve">1 team advances from the Asia FOPQT to the FOQT 2028</t>
  </si>
  <si>
    <t xml:space="preserve">bkb-022</t>
  </si>
  <si>
    <t xml:space="preserve">Second-round teams that missed the FBWC enter the Europe FOPQT (16 places)</t>
  </si>
  <si>
    <t xml:space="preserve">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</si>
  <si>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 xml:space="preserve">bkb-023</t>
  </si>
  <si>
    <t xml:space="preserve">Highest-ranked teams on the March 2027 FIBA Ranking fill part of the Europe FOPQT field (7 places across all regions)</t>
  </si>
  <si>
    <t xml:space="preserve">bkb-024</t>
  </si>
  <si>
    <t xml:space="preserve">2 teams advance from the Europe FOPQT to the FOQT 2028</t>
  </si>
  <si>
    <t xml:space="preserve">Europe sends two</t>
  </si>
  <si>
    <t xml:space="preserve">bkb-025</t>
  </si>
  <si>
    <t xml:space="preserve">19 further FBWC 2027 teams enter the FOQT: the best-placed non-qualifier from Africa, the Americas and Asia/Oceania, plus the 16 best-placed non-qualifiers overall</t>
  </si>
  <si>
    <t xml:space="preserve">Only if NOT directly qualified at the World Cup. The 19 are the best-placed teams across all 32 who missed the 7 direct places — not 19 more from Africa.</t>
  </si>
  <si>
    <t xml:space="preserve">3 regional best-placed non-qualifiers + the 16 best-placed non-qualifiers overall | The World Cup feeds both routes at once — 7 teams straight to LA28 and 19 into the FOQT. Missing the direct places is not elimination.</t>
  </si>
  <si>
    <t xml:space="preserve">D.1.3 B.1</t>
  </si>
  <si>
    <t xml:space="preserve">bkb-026</t>
  </si>
  <si>
    <t xml:space="preserve">NOT GUARANTEED. Subject to the same FIBA Central Board decision in 2027. If unused it passes to the next best-placed FWOQT team, adhering to universality principles.</t>
  </si>
  <si>
    <t xml:space="preserve">D.1.4, F.2</t>
  </si>
  <si>
    <t xml:space="preserve">bkb-027</t>
  </si>
  <si>
    <t xml:space="preserve">Champion of the FIBA Women’s Basketball World Cup 2026</t>
  </si>
  <si>
    <t xml:space="preserve">The winner only — no other placing at the World Cup awards a place. If the champion is also the host, only one team qualifies directly and the FWOQT awards 11.</t>
  </si>
  <si>
    <t xml:space="preserve">D.1.5</t>
  </si>
  <si>
    <t xml:space="preserve">bkb-028</t>
  </si>
  <si>
    <t xml:space="preserve">Top three in each of the four FWOQTs — but only two new teams from the two groups containing an already-qualified side</t>
  </si>
  <si>
    <t xml:space="preserve">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</si>
  <si>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 xml:space="preserve">The host and the FWBWC champion are already inside the 16-team field, so two of the 12 qualifying positions go to teams that have already qualified. Berths recorded as the NET 10 so the quota reconciles; the app should not read this as "10 of 16 advance".</t>
  </si>
  <si>
    <t xml:space="preserve">D.1.6 B.5</t>
  </si>
  <si>
    <t xml:space="preserve">bkb-029</t>
  </si>
  <si>
    <t xml:space="preserve">Qualifiers advance to the FWBWC 2026</t>
  </si>
  <si>
    <t xml:space="preserve">24 teams in four tournaments of six; 16 reach the World Cup and the other 8 drop into the FWOPQT</t>
  </si>
  <si>
    <t xml:space="preserve">D.1.6 A.1</t>
  </si>
  <si>
    <t xml:space="preserve">bkb-030</t>
  </si>
  <si>
    <t xml:space="preserve">The eight teams that did NOT qualify for the FWBWC 2026 go to the FWOPQT</t>
  </si>
  <si>
    <t xml:space="preserve">Only if NOT qualified for the World Cup. The 8 that missed out drop into the pre-qualifier.</t>
  </si>
  <si>
    <t xml:space="preserve">The eight that missed the World Cup | Losing branch, not a dead end: failing to reach the World Cup routes a team into the Olympic pre-qualifier instead.</t>
  </si>
  <si>
    <t xml:space="preserve">bkb-031</t>
  </si>
  <si>
    <t xml:space="preserve">The FWOPQT winner takes one of the 16 FWOQT places</t>
  </si>
  <si>
    <t xml:space="preserve">Winner only; deducted from its own continent’s allocation | DEDUCTION RULE: this place is subtracted from the continental allocation of the winner’s own region. A European winner means EuroBasket sends five rather than six.</t>
  </si>
  <si>
    <t xml:space="preserve">D.1.6 B</t>
  </si>
  <si>
    <t xml:space="preserve">bkb-032</t>
  </si>
  <si>
    <t xml:space="preserve">The 6 best classified teams at EuroBasket Women 2027 enter the FWOQT</t>
  </si>
  <si>
    <t xml:space="preserve">Five if the FWOPQT winner is European | Reduced by one if the FWOPQT winner comes from this region.</t>
  </si>
  <si>
    <t xml:space="preserve">D.1.6 B.1</t>
  </si>
  <si>
    <t xml:space="preserve">bkb-033</t>
  </si>
  <si>
    <t xml:space="preserve">The 4 best classified teams at FIBA Women’s AmeriCup 2027 enter the FWOQT</t>
  </si>
  <si>
    <t xml:space="preserve">Reduced by one if the FWOPQT winner comes from this region.</t>
  </si>
  <si>
    <t xml:space="preserve">bkb-034</t>
  </si>
  <si>
    <t xml:space="preserve">The 4 best classified teams at FIBA Women’s Asia Cup 2027 enter the FWOQT</t>
  </si>
  <si>
    <t xml:space="preserve">bkb-035</t>
  </si>
  <si>
    <t xml:space="preserve">The 2 best classified teams at FIBA Women’s AfroBasket 2027 enter the FWOQT</t>
  </si>
  <si>
    <t xml:space="preserve">bkb-036</t>
  </si>
  <si>
    <t xml:space="preserve">Sets the continental cup field</t>
  </si>
  <si>
    <t xml:space="preserve">12 teams join co-hosts Belgium, Finland, Sweden and Lithuania; 38 entered qualifying</t>
  </si>
  <si>
    <t xml:space="preserve">bkb-037</t>
  </si>
  <si>
    <t xml:space="preserve">Count not confirmed — verify with FIBA Africa</t>
  </si>
  <si>
    <t xml:space="preserve">bkb-038</t>
  </si>
  <si>
    <t xml:space="preserve">Four berths at the AmeriCup 2027 in El Salvador; the AmeriCup then sends its top four to the FWOQT</t>
  </si>
  <si>
    <t xml:space="preserve">bkb-039</t>
  </si>
  <si>
    <t xml:space="preserve">fiba-womens-world-ranking</t>
  </si>
  <si>
    <t xml:space="preserve">RANKING_CONTINGENCY</t>
  </si>
  <si>
    <t xml:space="preserve">Consulted only to replace a withdrawn team (March 2026 snapshot)</t>
  </si>
  <si>
    <t xml:space="preserve">Contingency, not entry. No team reaches this tournament on ranking alone — the opposite of the men’s FOPQT rule.</t>
  </si>
  <si>
    <t xml:space="preserve">D.1.6 A.2, B.6</t>
  </si>
  <si>
    <t xml:space="preserve">bkb-040</t>
  </si>
  <si>
    <t xml:space="preserve">Consulted only to replace a withdrawn team (August 2027 snapshot)</t>
  </si>
  <si>
    <t xml:space="preserve">fbl-026</t>
  </si>
  <si>
    <t xml:space="preserve">The eight runners-up other than the best enter the play-offs</t>
  </si>
  <si>
    <t xml:space="preserve">Only if you finish second in your group and are NOT the best runner-up. A fallback route into the tournament that awards Europe’s three Olympic places.</t>
  </si>
  <si>
    <t xml:space="preserve">Two-legged ties, 9–17 Nov 2026.</t>
  </si>
  <si>
    <t xml:space="preserve">fbl-027</t>
  </si>
  <si>
    <t xml:space="preserve">The four play-off winners take the last places at the U21 Euro 2027</t>
  </si>
  <si>
    <t xml:space="preserve">cri-020</t>
  </si>
  <si>
    <t xml:space="preserve">REALLOCATION</t>
  </si>
  <si>
    <t xml:space="preserve">Highest-placed non-qualified nation on the ranking at 1 March 2027 takes the host place if the USA misses the top 15</t>
  </si>
  <si>
    <t xml:space="preserve">Only if the USA women fail the top-15 test at 31 Dec 2026 — which on current form they will, sitting 19th. This route is live.</t>
  </si>
  <si>
    <t xml:space="preserve">NOT an extra berth. It is the same single host place passing down, so it adds nothing to the quota of 6. The berth is counted once, on the HOST_USA link.</t>
  </si>
  <si>
    <t xml:space="preserve">ICC pathway announcement, 30 Jun 2026</t>
  </si>
  <si>
    <t xml:space="preserve">icc-w-host-fallback</t>
  </si>
  <si>
    <t xml:space="preserve">cri-021</t>
  </si>
  <si>
    <t xml:space="preserve">Next-highest-ranked nation from any continent not already qualified takes the host place if the USA misses the top 15</t>
  </si>
  <si>
    <t xml:space="preserve">Only if the USA men fall out of the top 15 by 31 Dec 2026. They are currently 13th, three rating points clear of the Netherlands, so this route is dormant but not dead.</t>
  </si>
  <si>
    <t xml:space="preserve">NOT an extra berth — the same host place passing down. Counted once on the HOST_USA link.</t>
  </si>
  <si>
    <t xml:space="preserve">icc-m-host-fallback</t>
  </si>
  <si>
    <t xml:space="preserve">ranking_id</t>
  </si>
  <si>
    <t xml:space="preserve">governing_body</t>
  </si>
  <si>
    <t xml:space="preserve">standings_url</t>
  </si>
  <si>
    <t xml:space="preserve">window_start</t>
  </si>
  <si>
    <t xml:space="preserve">window_end</t>
  </si>
  <si>
    <t xml:space="preserve">cutoff_date</t>
  </si>
  <si>
    <t xml:space="preserve">selection_rule_type</t>
  </si>
  <si>
    <t xml:space="preserve">selection_n</t>
  </si>
  <si>
    <t xml:space="preserve">nation_cap</t>
  </si>
  <si>
    <t xml:space="preserve">excludes_already_qualified</t>
  </si>
  <si>
    <t xml:space="preserve">feeds_id</t>
  </si>
  <si>
    <t xml:space="preserve">points_model_type</t>
  </si>
  <si>
    <t xml:space="preserve">points_notes</t>
  </si>
  <si>
    <t xml:space="preserve">min_events</t>
  </si>
  <si>
    <t xml:space="preserve">decay_notes</t>
  </si>
  <si>
    <t xml:space="preserve">FIE Official Senior Team Ranking List</t>
  </si>
  <si>
    <t xml:space="preserve">FIE</t>
  </si>
  <si>
    <t xml:space="preserve">SEE_LINKS</t>
  </si>
  <si>
    <t xml:space="preserve">ONE_TEAM_PER_NOC_PER_WEAPON</t>
  </si>
  <si>
    <t xml:space="preserve">NO</t>
  </si>
  <si>
    <t xml:space="preserve">6 team events</t>
  </si>
  <si>
    <t xml:space="preserve">DOCUMENTED</t>
  </si>
  <si>
    <t xml:space="preserve">Points per article o.109 of the FIE Organisation Rules. Ranked separately per weapon.</t>
  </si>
  <si>
    <t xml:space="preserve">Only results 1 Apr 2027 – 1 Apr 2028 count.</t>
  </si>
  <si>
    <t xml:space="preserve">FIE Individual Senior Adjusted Official Ranking (AOR)</t>
  </si>
  <si>
    <t xml:space="preserve">ONE_ATHLETE_PER_NOC_PER_WEAPON</t>
  </si>
  <si>
    <t xml:space="preserve">YES</t>
  </si>
  <si>
    <t xml:space="preserve">6 individual events</t>
  </si>
  <si>
    <t xml:space="preserve">DERIVED</t>
  </si>
  <si>
    <t xml:space="preserve">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</si>
  <si>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 xml:space="preserve">ICC Men’s T20I Team Rankings</t>
  </si>
  <si>
    <t xml:space="preserve">ICC</t>
  </si>
  <si>
    <t xml:space="preserve">https://www.icc-cricket.com/rankings/about</t>
  </si>
  <si>
    <t xml:space="preserve">2026-12-31</t>
  </si>
  <si>
    <t xml:space="preserve">ONE_TEAM_PER_NOC</t>
  </si>
  <si>
    <t xml:space="preserve">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</si>
  <si>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 xml:space="preserve">Window closes 31 Dec 2026. Results after that date cannot affect men’s qualification.</t>
  </si>
  <si>
    <t xml:space="preserve">D.1, D.3, H</t>
  </si>
  <si>
    <t xml:space="preserve">ICC Women’s T20I Team Rankings</t>
  </si>
  <si>
    <t xml:space="preserve">https://www.icc-cricket.com/rankings/team-rankings/womens/t20i</t>
  </si>
  <si>
    <t xml:space="preserve">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</si>
  <si>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 xml:space="preserve">Window closes 1 March 2027 — two months later than the men’s. Host-place test closes earlier, 31 Dec 2026.</t>
  </si>
  <si>
    <t xml:space="preserve">D.5, D.6, H</t>
  </si>
  <si>
    <t xml:space="preserve">fiba-3x3-federation-ranking-w</t>
  </si>
  <si>
    <t xml:space="preserve">FIBA 3x3 Federation Ranking (Women)</t>
  </si>
  <si>
    <t xml:space="preserve">FIBA</t>
  </si>
  <si>
    <t xml:space="preserve">2027-12-01</t>
  </si>
  <si>
    <t xml:space="preserve">TOP_N_PER_REGION</t>
  </si>
  <si>
    <t xml:space="preserve">TODO — read the FIBA 3x3 LA28 qualification system.</t>
  </si>
  <si>
    <t xml:space="preserve">UNVERIFIED</t>
  </si>
  <si>
    <t xml:space="preserve">fivb-world-ranking-m</t>
  </si>
  <si>
    <t xml:space="preserve">FIVB Senior World Ranking (Men)</t>
  </si>
  <si>
    <t xml:space="preserve">FIVB</t>
  </si>
  <si>
    <t xml:space="preserve">2028-06-03</t>
  </si>
  <si>
    <t xml:space="preserve">TOP_N</t>
  </si>
  <si>
    <t xml:space="preserve">TODO — read the FIVB LA28 qualification system.</t>
  </si>
  <si>
    <t xml:space="preserve">uci-mtb-xco-ranking</t>
  </si>
  <si>
    <t xml:space="preserve">UCI MTB XCO Ranking</t>
  </si>
  <si>
    <t xml:space="preserve">UCI</t>
  </si>
  <si>
    <t xml:space="preserve">2028-05-19</t>
  </si>
  <si>
    <t xml:space="preserve">TODO — read the UCI LA28 qualification system.</t>
  </si>
  <si>
    <t xml:space="preserve">FIBA Men’s World Ranking</t>
  </si>
  <si>
    <t xml:space="preserve">https://www.fiba.basketball/en/rankings</t>
  </si>
  <si>
    <t xml:space="preserve">2027-03-31</t>
  </si>
  <si>
    <t xml:space="preserve">FOPQT 2027</t>
  </si>
  <si>
    <t xml:space="preserve">PRIMARY entry criterion, unlike the women’s list. The March 2027 ranking awards 7 of the 34 FOPQT places outright — to the highest-ranked teams among those that did NOT reach the second round of the FBWC 2027 Qualifiers. A team knocked out early can still reach the Olympic pathway purely on ranking. A second, later snapshot (March 2028) governs reallocation of declined places.</t>
  </si>
  <si>
    <t xml:space="preserve">Two distinct snapshots: March 2027 (entry) and March 2028 (reallocation).</t>
  </si>
  <si>
    <t xml:space="preserve">D.1.3 A.1, F.1</t>
  </si>
  <si>
    <t xml:space="preserve">FIBA Women’s World Ranking</t>
  </si>
  <si>
    <t xml:space="preserve">2028-03-31</t>
  </si>
  <si>
    <t xml:space="preserve">CONTINGENCY_ONLY</t>
  </si>
  <si>
    <t xml:space="preserve">replacements only</t>
  </si>
  <si>
    <t xml:space="preserve">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</si>
  <si>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 xml:space="preserve">Three snapshots, all for replacements: Mar 2026, Aug 2027, Mar 2028.</t>
  </si>
  <si>
    <t xml:space="preserve">D.1.6 A.2, B.6, F.1</t>
  </si>
  <si>
    <t xml:space="preserve">rank</t>
  </si>
  <si>
    <t xml:space="preserve">team</t>
  </si>
  <si>
    <t xml:space="preserve">continent</t>
  </si>
  <si>
    <t xml:space="preserve">rating</t>
  </si>
  <si>
    <t xml:space="preserve">matches</t>
  </si>
  <si>
    <t xml:space="preserve">points</t>
  </si>
  <si>
    <t xml:space="preserve">olympic_eligible</t>
  </si>
  <si>
    <t xml:space="preserve">as_of</t>
  </si>
  <si>
    <t xml:space="preserve">source_url</t>
  </si>
  <si>
    <t xml:space="preserve">already_qualified</t>
  </si>
  <si>
    <t xml:space="preserve">qualified_via</t>
  </si>
  <si>
    <t xml:space="preserve">provisional</t>
  </si>
  <si>
    <t xml:space="preserve">counts_in_field</t>
  </si>
  <si>
    <t xml:space="preserve">India</t>
  </si>
  <si>
    <t xml:space="preserve">Asia</t>
  </si>
  <si>
    <t xml:space="preserve">Y</t>
  </si>
  <si>
    <t xml:space="preserve">https://en.wikipedia.org/wiki/ICC_Men%27s_T20I_Team_Rankings</t>
  </si>
  <si>
    <t xml:space="preserve">Continental place (Asia) — leads Asia on the 31 Dec 2026 ranking</t>
  </si>
  <si>
    <t xml:space="preserve">N</t>
  </si>
  <si>
    <t xml:space="preserve">England</t>
  </si>
  <si>
    <t xml:space="preserve">Europe</t>
  </si>
  <si>
    <t xml:space="preserve">Represents Great Britain; Scotland, Wales and NI cannot take the quota</t>
  </si>
  <si>
    <t xml:space="preserve">Continental place (Europe)</t>
  </si>
  <si>
    <t xml:space="preserve">Australia</t>
  </si>
  <si>
    <t xml:space="preserve">Oceania</t>
  </si>
  <si>
    <t xml:space="preserve">Continental place (Oceania)</t>
  </si>
  <si>
    <t xml:space="preserve">New Zealand</t>
  </si>
  <si>
    <t xml:space="preserve">South Africa</t>
  </si>
  <si>
    <t xml:space="preserve">Africa</t>
  </si>
  <si>
    <t xml:space="preserve">Continental place (Africa)</t>
  </si>
  <si>
    <t xml:space="preserve">Pakistan</t>
  </si>
  <si>
    <t xml:space="preserve">West Indies</t>
  </si>
  <si>
    <t xml:space="preserve">Americas</t>
  </si>
  <si>
    <t xml:space="preserve">Composite ICC member, not an IOC NOC. Cannot hold a quota place, but DOES count toward the eight FOGQT slots.</t>
  </si>
  <si>
    <t xml:space="preserve">Bangladesh</t>
  </si>
  <si>
    <t xml:space="preserve">Sri Lanka</t>
  </si>
  <si>
    <t xml:space="preserve">Afghanistan</t>
  </si>
  <si>
    <t xml:space="preserve">Zimbabwe</t>
  </si>
  <si>
    <t xml:space="preserve">Ireland</t>
  </si>
  <si>
    <t xml:space="preserve">Host. Needs rank 15 or better at some point between 30 Jun and 31 Dec 2026 to keep the host place.</t>
  </si>
  <si>
    <t xml:space="preserve">Host place — currently 13th, inside the top 15 required at 31 Dec 2026 (PROVISIONAL)</t>
  </si>
  <si>
    <t xml:space="preserve">Netherlands</t>
  </si>
  <si>
    <t xml:space="preserve">Scotland</t>
  </si>
  <si>
    <t xml:space="preserve">Part of Great Britain; only England counts toward the quotas. Still occupies a published ranking position.</t>
  </si>
  <si>
    <t xml:space="preserve">2026-08-01</t>
  </si>
  <si>
    <t xml:space="preserve">Direct place, Women’s T20 World Cup 2026 (verify)</t>
  </si>
  <si>
    <t xml:space="preserve">Host-place fallback — highest non-qualified nation, since the USA cannot reach the top 15 (PROVISIONAL)</t>
  </si>
  <si>
    <t xml:space="preserve">Composite ICC member representing multiple Caribbean nations, not an IOC NOC. Cannot hold a quota place — but DOES count toward the eight Olympics Qualifier slots, and if it lands inside, a Caribbean Qualifier is convened to decide which NOC represents the region.</t>
  </si>
  <si>
    <t xml:space="preserve">Part of Great Britain. Only England is considered for the quotas (NB i of the ICC qualification system), so Scotland’s ranking position is skipped when counting eligible teams.</t>
  </si>
  <si>
    <t xml:space="preserve">Thailand</t>
  </si>
  <si>
    <t xml:space="preserve">Papua New Guinea</t>
  </si>
  <si>
    <t xml:space="preserve">United Arab Emirates</t>
  </si>
  <si>
    <t xml:space="preserve">Uganda</t>
  </si>
  <si>
    <t xml:space="preserve">Namibia</t>
  </si>
  <si>
    <t xml:space="preserve">USA</t>
  </si>
  <si>
    <t xml:space="preserve">HOST. Needs top 15 at the 31 Dec 2026 cut-off to keep the automatic place. Sits 19th on 98 — 39 rating points behind 15th-placed UAE (137). Effectively out of reach.</t>
  </si>
  <si>
    <t xml:space="preserve">Tanzania</t>
  </si>
  <si>
    <t xml:space="preserve">Indonesia</t>
  </si>
  <si>
    <t xml:space="preserve">Nepal</t>
  </si>
  <si>
    <t xml:space="preserve">Hong Kong</t>
  </si>
  <si>
    <t xml:space="preserve">Rwanda</t>
  </si>
  <si>
    <t xml:space="preserve">Italy</t>
  </si>
  <si>
    <t xml:space="preserve">Nigeria</t>
  </si>
  <si>
    <t xml:space="preserve">Brazil</t>
  </si>
  <si>
    <t xml:space="preserve">Germany</t>
  </si>
  <si>
    <t xml:space="preserve">Malaysia</t>
  </si>
  <si>
    <t xml:space="preserve">Vanuatu</t>
  </si>
  <si>
    <t xml:space="preserve">Kenya</t>
  </si>
  <si>
    <t xml:space="preserve">Jersey</t>
  </si>
  <si>
    <t xml:space="preserve">Crown Dependency, not an IOC NOC.</t>
  </si>
  <si>
    <t xml:space="preserve">Spain</t>
  </si>
  <si>
    <t xml:space="preserve">Oman</t>
  </si>
  <si>
    <t xml:space="preserve">Cyprus</t>
  </si>
  <si>
    <t xml:space="preserve">Canada</t>
  </si>
  <si>
    <t xml:space="preserve">Isle of Man</t>
  </si>
  <si>
    <t xml:space="preserve">Sweden</t>
  </si>
  <si>
    <t xml:space="preserve">Switzerland</t>
  </si>
  <si>
    <t xml:space="preserve">Japan</t>
  </si>
  <si>
    <t xml:space="preserve">Myanmar</t>
  </si>
  <si>
    <t xml:space="preserve">China</t>
  </si>
  <si>
    <t xml:space="preserve">Denmark</t>
  </si>
  <si>
    <t xml:space="preserve">Sierra Leone</t>
  </si>
  <si>
    <t xml:space="preserve">Bhutan</t>
  </si>
  <si>
    <t xml:space="preserve">France</t>
  </si>
  <si>
    <t xml:space="preserve">Botswana</t>
  </si>
  <si>
    <t xml:space="preserve">Gibraltar</t>
  </si>
  <si>
    <t xml:space="preserve">Kuwait</t>
  </si>
  <si>
    <t xml:space="preserve">Turkiye</t>
  </si>
  <si>
    <t xml:space="preserve">Samoa</t>
  </si>
  <si>
    <t xml:space="preserve">Argentina</t>
  </si>
  <si>
    <t xml:space="preserve">Romania</t>
  </si>
  <si>
    <t xml:space="preserve">Guernsey</t>
  </si>
  <si>
    <t xml:space="preserve">Austria</t>
  </si>
  <si>
    <t xml:space="preserve">Malawi</t>
  </si>
  <si>
    <t xml:space="preserve">Greece</t>
  </si>
  <si>
    <t xml:space="preserve">Fiji</t>
  </si>
  <si>
    <t xml:space="preserve">Serbia</t>
  </si>
  <si>
    <t xml:space="preserve">Norway</t>
  </si>
  <si>
    <t xml:space="preserve">Estonia</t>
  </si>
  <si>
    <t xml:space="preserve">Czechia</t>
  </si>
  <si>
    <t xml:space="preserve">Qatar</t>
  </si>
  <si>
    <t xml:space="preserve">Finland</t>
  </si>
  <si>
    <t xml:space="preserve">Croatia</t>
  </si>
  <si>
    <t xml:space="preserve">Mozambique</t>
  </si>
  <si>
    <t xml:space="preserve">Malta</t>
  </si>
  <si>
    <t xml:space="preserve">Cameroon</t>
  </si>
  <si>
    <t xml:space="preserve">Lesotho</t>
  </si>
  <si>
    <t xml:space="preserve">Mongolia</t>
  </si>
  <si>
    <t xml:space="preserve">Philippines</t>
  </si>
  <si>
    <t xml:space="preserve">Singapore</t>
  </si>
  <si>
    <t xml:space="preserve">Eswatini</t>
  </si>
  <si>
    <t xml:space="preserve">Saudi Arabia</t>
  </si>
  <si>
    <t xml:space="preserve">Luxembourg</t>
  </si>
  <si>
    <t xml:space="preserve">Cook Islands</t>
  </si>
  <si>
    <t xml:space="preserve">Bulgaria</t>
  </si>
  <si>
    <t xml:space="preserve">Belgium</t>
  </si>
  <si>
    <t xml:space="preserve">Bahrain</t>
  </si>
  <si>
    <t xml:space="preserve">rule</t>
  </si>
  <si>
    <t xml:space="preserve">n</t>
  </si>
  <si>
    <t xml:space="preserve">deadline</t>
  </si>
  <si>
    <t xml:space="preserve">leads_to</t>
  </si>
  <si>
    <t xml:space="preserve">offset</t>
  </si>
  <si>
    <t xml:space="preserve">applies_to</t>
  </si>
  <si>
    <t xml:space="preserve">Four continental places</t>
  </si>
  <si>
    <t xml:space="preserve">TOP_PER_NAMED_CONTINENT</t>
  </si>
  <si>
    <t xml:space="preserve">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</si>
  <si>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 xml:space="preserve">Host place test — rank 15 or better</t>
  </si>
  <si>
    <t xml:space="preserve">RANK_AT_OR_ABOVE</t>
  </si>
  <si>
    <t xml:space="preserve">APPLIES TO THE UNITED STATES ONLY. Section D.2 requires the host to have appeared at rank 15 or better AT ANY POINT DURING the qualification window, which Section H opens on 30 Jun 2026 and closes on 31 Dec 2026 — not merely at the closing date. The ICC’s June 2026 announcement phrases it as "at the 31 December 2026 cut-off"; the qualification system document is the governing text and is looser. The USA men are 13th on 183, three rating points clear of the Netherlands (180). GAP: the 16th-placed team was not captured, so the true margin is unknown.</t>
  </si>
  <si>
    <t xml:space="preserve">FOGQT field — next eight not yet qualified</t>
  </si>
  <si>
    <t xml:space="preserve">NEXT_N_NOT_QUALIFIED</t>
  </si>
  <si>
    <t xml:space="preserve">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</si>
  <si>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 xml:space="preserve">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</si>
  <si>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 xml:space="preserve">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</si>
  <si>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 xml:space="preserve">fiba-m-fopqt-7</t>
  </si>
  <si>
    <t xml:space="preserve">Seven FOPQT places on ranking</t>
  </si>
  <si>
    <t xml:space="preserve">TOP_N_OF_POOL</t>
  </si>
  <si>
    <t xml:space="preserve">NOT COMPUTABLE yet. Requires two things not captured: the current FIBA Men’s World Ranking, and the list of teams that did NOT reach the second round of the 2027 World Cup qualifiers — the ranking is applied only within that pool. Standings at https://www.fiba.basketball/en/rankings</t>
  </si>
  <si>
    <t xml:space="preserve">Host-place fallback</t>
  </si>
  <si>
    <t xml:space="preserve">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</si>
  <si>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 xml:space="preserve">Host-place fallback (1 March 2027)</t>
  </si>
  <si>
    <t xml:space="preserve">PROVISIONAL_HOLDER</t>
  </si>
  <si>
    <t xml:space="preserve">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</si>
  <si>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 xml:space="preserve">fixture_id</t>
  </si>
  <si>
    <t xml:space="preserve">date</t>
  </si>
  <si>
    <t xml:space="preserve">team1</t>
  </si>
  <si>
    <t xml:space="preserve">team2</t>
  </si>
  <si>
    <t xml:space="preserve">stage</t>
  </si>
  <si>
    <t xml:space="preserve">stage_source</t>
  </si>
  <si>
    <t xml:space="preserve">result</t>
  </si>
  <si>
    <t xml:space="preserve">broadcast</t>
  </si>
  <si>
    <t xml:space="preserve">fx-0001</t>
  </si>
  <si>
    <t xml:space="preserve">Mexico U-20</t>
  </si>
  <si>
    <t xml:space="preserve">Antigua and Barbuda U-20</t>
  </si>
  <si>
    <t xml:space="preserve">Group stage · Matchday 1</t>
  </si>
  <si>
    <t xml:space="preserve">RESEARCHED</t>
  </si>
  <si>
    <t xml:space="preserve">3-0</t>
  </si>
  <si>
    <t xml:space="preserve">fx-0002</t>
  </si>
  <si>
    <t xml:space="preserve">Guatemala U-20</t>
  </si>
  <si>
    <t xml:space="preserve">Costa Rica U-20</t>
  </si>
  <si>
    <t xml:space="preserve">0-1</t>
  </si>
  <si>
    <t xml:space="preserve">fx-0003</t>
  </si>
  <si>
    <t xml:space="preserve">USA U-20</t>
  </si>
  <si>
    <t xml:space="preserve">Haiti U-20</t>
  </si>
  <si>
    <t xml:space="preserve">fx-0004</t>
  </si>
  <si>
    <t xml:space="preserve">Cuba U-20</t>
  </si>
  <si>
    <t xml:space="preserve">El Salvador U-20</t>
  </si>
  <si>
    <t xml:space="preserve">fx-0005</t>
  </si>
  <si>
    <t xml:space="preserve">Honduras U-20</t>
  </si>
  <si>
    <t xml:space="preserve">Jamaica U-20</t>
  </si>
  <si>
    <t xml:space="preserve">1-2</t>
  </si>
  <si>
    <t xml:space="preserve">fx-0006</t>
  </si>
  <si>
    <t xml:space="preserve">Panama U-20</t>
  </si>
  <si>
    <t xml:space="preserve">Canada U-20</t>
  </si>
  <si>
    <t xml:space="preserve">0-3</t>
  </si>
  <si>
    <t xml:space="preserve">fx-0007</t>
  </si>
  <si>
    <t xml:space="preserve">Group stage · Matchday 2</t>
  </si>
  <si>
    <t xml:space="preserve">0-2</t>
  </si>
  <si>
    <t xml:space="preserve">fx-0008</t>
  </si>
  <si>
    <t xml:space="preserve">0-4</t>
  </si>
  <si>
    <t xml:space="preserve">fx-0009</t>
  </si>
  <si>
    <t xml:space="preserve">3-2</t>
  </si>
  <si>
    <t xml:space="preserve">fx-0010</t>
  </si>
  <si>
    <t xml:space="preserve">fx-0011</t>
  </si>
  <si>
    <t xml:space="preserve">2-2</t>
  </si>
  <si>
    <t xml:space="preserve">fx-0012</t>
  </si>
  <si>
    <t xml:space="preserve">1-1</t>
  </si>
  <si>
    <t xml:space="preserve">USA: FS2, FOX One or ViX; VPN: Concacaf YouTube</t>
  </si>
  <si>
    <t xml:space="preserve">fx-0013</t>
  </si>
  <si>
    <t xml:space="preserve">Group stage</t>
  </si>
  <si>
    <t xml:space="preserve">VBTV — official live/on-demand stream; subscription required; no VPN needed</t>
  </si>
  <si>
    <t xml:space="preserve">fx-0014</t>
  </si>
  <si>
    <t xml:space="preserve">Slovenia</t>
  </si>
  <si>
    <t xml:space="preserve">BaseballEurope.TV — official paid stream; ticket or subscription required</t>
  </si>
  <si>
    <t xml:space="preserve">fx-0015</t>
  </si>
  <si>
    <t xml:space="preserve">BaseballEurope.TV — official stream; ticket or subscription required</t>
  </si>
  <si>
    <t xml:space="preserve">fx-0016</t>
  </si>
  <si>
    <t xml:space="preserve">Poland</t>
  </si>
  <si>
    <t xml:space="preserve">Ukraine</t>
  </si>
  <si>
    <t xml:space="preserve">fx-0017</t>
  </si>
  <si>
    <t xml:space="preserve">Slovakia</t>
  </si>
  <si>
    <t xml:space="preserve">fx-0018</t>
  </si>
  <si>
    <t xml:space="preserve">fx-0019</t>
  </si>
  <si>
    <t xml:space="preserve">Cuba</t>
  </si>
  <si>
    <t xml:space="preserve">Bermuda</t>
  </si>
  <si>
    <t xml:space="preserve">Centro Caribe Sports YouTube; VPN to Dominican Republic: RTVD Canal 4 or CDN Deportes</t>
  </si>
  <si>
    <t xml:space="preserve">fx-0020</t>
  </si>
  <si>
    <t xml:space="preserve">Mexico</t>
  </si>
  <si>
    <t xml:space="preserve">Venezuela</t>
  </si>
  <si>
    <t xml:space="preserve">fx-0021</t>
  </si>
  <si>
    <t xml:space="preserve">Lithuania</t>
  </si>
  <si>
    <t xml:space="preserve">fx-0022</t>
  </si>
  <si>
    <t xml:space="preserve">Jamaica</t>
  </si>
  <si>
    <t xml:space="preserve">Barbados</t>
  </si>
  <si>
    <t xml:space="preserve">fx-0023</t>
  </si>
  <si>
    <t xml:space="preserve">Dominican Republic</t>
  </si>
  <si>
    <t xml:space="preserve">Puerto Rico</t>
  </si>
  <si>
    <t xml:space="preserve">fx-0024</t>
  </si>
  <si>
    <t xml:space="preserve">Group stage · Matchday 3</t>
  </si>
  <si>
    <t xml:space="preserve">4-1</t>
  </si>
  <si>
    <t xml:space="preserve">USA: FOX One/FOX Sports or ViX; VPN: Concacaf YouTube</t>
  </si>
  <si>
    <t xml:space="preserve">fx-0025</t>
  </si>
  <si>
    <t xml:space="preserve">4-0</t>
  </si>
  <si>
    <t xml:space="preserve">fx-0026</t>
  </si>
  <si>
    <t xml:space="preserve">Sri Lanka Women</t>
  </si>
  <si>
    <t xml:space="preserve">Pakistan Women</t>
  </si>
  <si>
    <t xml:space="preserve">Series match 1 of 3</t>
  </si>
  <si>
    <t xml:space="preserve">Willow Sports/Willow by Cricbuzz — official U.S. broadcast and stream; available through Willow, Fubo or Sling; no VPN needed</t>
  </si>
  <si>
    <t xml:space="preserve">fx-0027</t>
  </si>
  <si>
    <t xml:space="preserve">fx-0028</t>
  </si>
  <si>
    <t xml:space="preserve">fx-0029</t>
  </si>
  <si>
    <t xml:space="preserve">fx-0030</t>
  </si>
  <si>
    <t xml:space="preserve">Centro Caribe Sports YouTube — official free stream; check the channel's Live tab</t>
  </si>
  <si>
    <t xml:space="preserve">fx-0031</t>
  </si>
  <si>
    <t xml:space="preserve">fx-0032</t>
  </si>
  <si>
    <t xml:space="preserve">fx-0033</t>
  </si>
  <si>
    <t xml:space="preserve">fx-0034</t>
  </si>
  <si>
    <t xml:space="preserve">Trinidad and Tobago</t>
  </si>
  <si>
    <t xml:space="preserve">Guatemala</t>
  </si>
  <si>
    <t xml:space="preserve">fx-0035</t>
  </si>
  <si>
    <t xml:space="preserve">fx-0036</t>
  </si>
  <si>
    <t xml:space="preserve">fx-0037</t>
  </si>
  <si>
    <t xml:space="preserve">Takasaki (Japan)</t>
  </si>
  <si>
    <t xml:space="preserve">FIBA 3x3 YouTube — free official stream; All Women's Sports; no VPN needed</t>
  </si>
  <si>
    <t xml:space="preserve">fx-0038</t>
  </si>
  <si>
    <t xml:space="preserve">Vietnam</t>
  </si>
  <si>
    <t xml:space="preserve">fx-0039</t>
  </si>
  <si>
    <t xml:space="preserve">5-0</t>
  </si>
  <si>
    <t xml:space="preserve">fx-0040</t>
  </si>
  <si>
    <t xml:space="preserve">Lion City (Singapore)</t>
  </si>
  <si>
    <t xml:space="preserve">fx-0041</t>
  </si>
  <si>
    <t xml:space="preserve">fx-0042</t>
  </si>
  <si>
    <t xml:space="preserve">fx-0043</t>
  </si>
  <si>
    <t xml:space="preserve">fx-0044</t>
  </si>
  <si>
    <t xml:space="preserve">Qualifying Draw B winner</t>
  </si>
  <si>
    <t xml:space="preserve">Knockout / qualifying draw</t>
  </si>
  <si>
    <t xml:space="preserve">fx-0045</t>
  </si>
  <si>
    <t xml:space="preserve">Beijing (China)</t>
  </si>
  <si>
    <t xml:space="preserve">Qualifying Draw A winner</t>
  </si>
  <si>
    <t xml:space="preserve">fx-0046</t>
  </si>
  <si>
    <t xml:space="preserve">Mitsubishi Electric (Japan)</t>
  </si>
  <si>
    <t xml:space="preserve">fx-0047</t>
  </si>
  <si>
    <t xml:space="preserve">Netherlands U25</t>
  </si>
  <si>
    <t xml:space="preserve">fx-0048</t>
  </si>
  <si>
    <t xml:space="preserve">fx-0049</t>
  </si>
  <si>
    <t xml:space="preserve">France U25</t>
  </si>
  <si>
    <t xml:space="preserve">fx-0050</t>
  </si>
  <si>
    <t xml:space="preserve">fx-0051</t>
  </si>
  <si>
    <t xml:space="preserve">fx-0052</t>
  </si>
  <si>
    <t xml:space="preserve">Neftchi SOCAR (Azerbaijan)</t>
  </si>
  <si>
    <t xml:space="preserve">fx-0053</t>
  </si>
  <si>
    <t xml:space="preserve">fx-0054</t>
  </si>
  <si>
    <t xml:space="preserve">fx-0055</t>
  </si>
  <si>
    <t xml:space="preserve">fx-0056</t>
  </si>
  <si>
    <t xml:space="preserve">fx-0057</t>
  </si>
  <si>
    <t xml:space="preserve">BaseballEurope.TV — official live stream; ticket or subscription required; no VPN needed</t>
  </si>
  <si>
    <t xml:space="preserve">fx-0058</t>
  </si>
  <si>
    <t xml:space="preserve">fx-0059</t>
  </si>
  <si>
    <t xml:space="preserve">Men U23 XCO</t>
  </si>
  <si>
    <t xml:space="preserve">—</t>
  </si>
  <si>
    <t xml:space="preserve">Race / event final</t>
  </si>
  <si>
    <t xml:space="preserve">UEC live timing only; no official video broadcast listed</t>
  </si>
  <si>
    <t xml:space="preserve">fx-0060</t>
  </si>
  <si>
    <t xml:space="preserve">Centro Caribe Sports YouTube — official free stream; check the channel's Live tab; no VPN normally needed</t>
  </si>
  <si>
    <t xml:space="preserve">fx-0061</t>
  </si>
  <si>
    <t xml:space="preserve">fx-0062</t>
  </si>
  <si>
    <t xml:space="preserve">fx-0063</t>
  </si>
  <si>
    <t xml:space="preserve">fx-0064</t>
  </si>
  <si>
    <t xml:space="preserve">Series match 2 of 3</t>
  </si>
  <si>
    <t xml:space="preserve">fx-0065</t>
  </si>
  <si>
    <t xml:space="preserve">Women U23 XCO</t>
  </si>
  <si>
    <t xml:space="preserve">fx-0066</t>
  </si>
  <si>
    <t xml:space="preserve">Women Elite XCO</t>
  </si>
  <si>
    <t xml:space="preserve">No U.S. broadcaster listed; VPN to France: L’Équipe TV; Belgium: RTBF; Switzerland: SRF/RTS/RSI; Europe: Eurosport digital</t>
  </si>
  <si>
    <t xml:space="preserve">fx-0067</t>
  </si>
  <si>
    <t xml:space="preserve">Men Elite XCO</t>
  </si>
  <si>
    <t xml:space="preserve">fx-0068</t>
  </si>
  <si>
    <t xml:space="preserve">Chile</t>
  </si>
  <si>
    <t xml:space="preserve">FIBA YouTube — official free live stream; no VPN expected</t>
  </si>
  <si>
    <t xml:space="preserve">fx-0069</t>
  </si>
  <si>
    <t xml:space="preserve">Paraguay</t>
  </si>
  <si>
    <t xml:space="preserve">Uruguay</t>
  </si>
  <si>
    <t xml:space="preserve">fx-0070</t>
  </si>
  <si>
    <t xml:space="preserve">Colombia</t>
  </si>
  <si>
    <t xml:space="preserve">fx-0071</t>
  </si>
  <si>
    <t xml:space="preserve">2nd ranked</t>
  </si>
  <si>
    <t xml:space="preserve">7th ranked</t>
  </si>
  <si>
    <t xml:space="preserve">Quarter-final 2</t>
  </si>
  <si>
    <t xml:space="preserve">fx-0072</t>
  </si>
  <si>
    <t xml:space="preserve">1st ranked</t>
  </si>
  <si>
    <t xml:space="preserve">8th ranked</t>
  </si>
  <si>
    <t xml:space="preserve">Quarter-final 1</t>
  </si>
  <si>
    <t xml:space="preserve">fx-0073</t>
  </si>
  <si>
    <t xml:space="preserve">Series match 3 of 3</t>
  </si>
  <si>
    <t xml:space="preserve">fx-0074</t>
  </si>
  <si>
    <t xml:space="preserve">fx-0075</t>
  </si>
  <si>
    <t xml:space="preserve">fx-0076</t>
  </si>
  <si>
    <t xml:space="preserve">fx-0077</t>
  </si>
  <si>
    <t xml:space="preserve">4th ranked</t>
  </si>
  <si>
    <t xml:space="preserve">5th ranked</t>
  </si>
  <si>
    <t xml:space="preserve">Quarter-final 4</t>
  </si>
  <si>
    <t xml:space="preserve">fx-0078</t>
  </si>
  <si>
    <t xml:space="preserve">3rd ranked</t>
  </si>
  <si>
    <t xml:space="preserve">6th ranked</t>
  </si>
  <si>
    <t xml:space="preserve">Quarter-final 3</t>
  </si>
  <si>
    <t xml:space="preserve">fx-0079</t>
  </si>
  <si>
    <t xml:space="preserve">fx-0080</t>
  </si>
  <si>
    <t xml:space="preserve">fx-0081</t>
  </si>
  <si>
    <t xml:space="preserve">fx-0082</t>
  </si>
  <si>
    <t xml:space="preserve">Winner QF1</t>
  </si>
  <si>
    <t xml:space="preserve">Winner QF2</t>
  </si>
  <si>
    <t xml:space="preserve">Semi-final 1</t>
  </si>
  <si>
    <t xml:space="preserve">fx-0083</t>
  </si>
  <si>
    <t xml:space="preserve">Winner QF3</t>
  </si>
  <si>
    <t xml:space="preserve">Winner QF4</t>
  </si>
  <si>
    <t xml:space="preserve">Semi-final 2</t>
  </si>
  <si>
    <t xml:space="preserve">fx-0084</t>
  </si>
  <si>
    <t xml:space="preserve">Winner SF1</t>
  </si>
  <si>
    <t xml:space="preserve">Winner SF2</t>
  </si>
  <si>
    <t xml:space="preserve">Final</t>
  </si>
  <si>
    <t xml:space="preserve">fx-0085</t>
  </si>
  <si>
    <t xml:space="preserve">Not yet drawn</t>
  </si>
  <si>
    <t xml:space="preserve">UNKNOWN</t>
  </si>
  <si>
    <t xml:space="preserve">fx-0086</t>
  </si>
  <si>
    <t xml:space="preserve">South Sudan</t>
  </si>
  <si>
    <t xml:space="preserve">Courtside 1891 on DAZN — expected official U.S. stream; event-specific listing not yet posted; blackouts may apply</t>
  </si>
  <si>
    <t xml:space="preserve">fx-0087</t>
  </si>
  <si>
    <t xml:space="preserve">fx-0088</t>
  </si>
  <si>
    <t xml:space="preserve">Senegal</t>
  </si>
  <si>
    <t xml:space="preserve">fx-0089</t>
  </si>
  <si>
    <t xml:space="preserve">fx-0090</t>
  </si>
  <si>
    <t xml:space="preserve">fx-0091</t>
  </si>
  <si>
    <t xml:space="preserve">fx-0092</t>
  </si>
  <si>
    <t xml:space="preserve">fx-0093</t>
  </si>
  <si>
    <t xml:space="preserve">fx-0094</t>
  </si>
  <si>
    <t xml:space="preserve">fx-0095</t>
  </si>
  <si>
    <t xml:space="preserve">fx-0096</t>
  </si>
  <si>
    <t xml:space="preserve">fx-0097</t>
  </si>
  <si>
    <t xml:space="preserve">fx-0098</t>
  </si>
  <si>
    <t xml:space="preserve">Guinea</t>
  </si>
  <si>
    <t xml:space="preserve">Second round · Window 4</t>
  </si>
  <si>
    <t xml:space="preserve">Courtside 1891 on DAZN — official U.S. live/on-demand stream; subscription required; blackouts may apply</t>
  </si>
  <si>
    <t xml:space="preserve">fx-0099</t>
  </si>
  <si>
    <t xml:space="preserve">Angola</t>
  </si>
  <si>
    <t xml:space="preserve">DR Congo</t>
  </si>
  <si>
    <t xml:space="preserve">fx-0100</t>
  </si>
  <si>
    <t xml:space="preserve">fx-0101</t>
  </si>
  <si>
    <t xml:space="preserve">Mali</t>
  </si>
  <si>
    <t xml:space="preserve">Côte d’Ivoire</t>
  </si>
  <si>
    <t xml:space="preserve">fx-0102</t>
  </si>
  <si>
    <t xml:space="preserve">fx-0103</t>
  </si>
  <si>
    <t xml:space="preserve">fx-0104</t>
  </si>
  <si>
    <t xml:space="preserve">Hungary</t>
  </si>
  <si>
    <t xml:space="preserve">fx-0105</t>
  </si>
  <si>
    <t xml:space="preserve">Pre-qualifiers second round · Window 4</t>
  </si>
  <si>
    <t xml:space="preserve">fx-0106</t>
  </si>
  <si>
    <t xml:space="preserve">fx-0107</t>
  </si>
  <si>
    <t xml:space="preserve">Great Britain</t>
  </si>
  <si>
    <t xml:space="preserve">fx-0108</t>
  </si>
  <si>
    <t xml:space="preserve">fx-0109</t>
  </si>
  <si>
    <t xml:space="preserve">Latvia</t>
  </si>
  <si>
    <t xml:space="preserve">fx-0110</t>
  </si>
  <si>
    <t xml:space="preserve">Israel</t>
  </si>
  <si>
    <t xml:space="preserve">fx-0111</t>
  </si>
  <si>
    <t xml:space="preserve">fx-0112</t>
  </si>
  <si>
    <t xml:space="preserve">Lebanon</t>
  </si>
  <si>
    <t xml:space="preserve">South Korea</t>
  </si>
  <si>
    <t xml:space="preserve">fx-0113</t>
  </si>
  <si>
    <t xml:space="preserve">Tunisia</t>
  </si>
  <si>
    <t xml:space="preserve">Cape Verde</t>
  </si>
  <si>
    <t xml:space="preserve">fx-0114</t>
  </si>
  <si>
    <t xml:space="preserve">fx-0115</t>
  </si>
  <si>
    <t xml:space="preserve">fx-0116</t>
  </si>
  <si>
    <t xml:space="preserve">Egypt</t>
  </si>
  <si>
    <t xml:space="preserve">fx-0117</t>
  </si>
  <si>
    <t xml:space="preserve">fx-0118</t>
  </si>
  <si>
    <t xml:space="preserve">fx-0119</t>
  </si>
  <si>
    <t xml:space="preserve">Bahamas</t>
  </si>
  <si>
    <t xml:space="preserve">fx-0120</t>
  </si>
  <si>
    <t xml:space="preserve">fx-0121</t>
  </si>
  <si>
    <t xml:space="preserve">fx-0122</t>
  </si>
  <si>
    <t xml:space="preserve">Panama</t>
  </si>
  <si>
    <t xml:space="preserve">fx-0123</t>
  </si>
  <si>
    <t xml:space="preserve">Iran</t>
  </si>
  <si>
    <t xml:space="preserve">fx-0124</t>
  </si>
  <si>
    <t xml:space="preserve">Syria</t>
  </si>
  <si>
    <t xml:space="preserve">fx-0125</t>
  </si>
  <si>
    <t xml:space="preserve">fx-0126</t>
  </si>
  <si>
    <t xml:space="preserve">Jordan</t>
  </si>
  <si>
    <t xml:space="preserve">fx-0127</t>
  </si>
  <si>
    <t xml:space="preserve">fx-0128</t>
  </si>
  <si>
    <t xml:space="preserve">Georgia</t>
  </si>
  <si>
    <t xml:space="preserve">Montenegro</t>
  </si>
  <si>
    <t xml:space="preserve">fx-0129</t>
  </si>
  <si>
    <t xml:space="preserve">fx-0130</t>
  </si>
  <si>
    <t xml:space="preserve">Bosnia and Herzegovina</t>
  </si>
  <si>
    <t xml:space="preserve">fx-0131</t>
  </si>
  <si>
    <t xml:space="preserve">Iceland</t>
  </si>
  <si>
    <t xml:space="preserve">fx-0132</t>
  </si>
  <si>
    <t xml:space="preserve">Türkiye</t>
  </si>
  <si>
    <t xml:space="preserve">fx-0133</t>
  </si>
  <si>
    <t xml:space="preserve">fx-0134</t>
  </si>
  <si>
    <t xml:space="preserve">Portugal</t>
  </si>
  <si>
    <t xml:space="preserve">fx-0135</t>
  </si>
  <si>
    <t xml:space="preserve">fx-0136</t>
  </si>
  <si>
    <t xml:space="preserve">fx-0137</t>
  </si>
  <si>
    <t xml:space="preserve">fx-0138</t>
  </si>
  <si>
    <t xml:space="preserve">fx-0139</t>
  </si>
  <si>
    <t xml:space="preserve">fx-0140</t>
  </si>
  <si>
    <t xml:space="preserve">fx-0141</t>
  </si>
  <si>
    <t xml:space="preserve">fx-0142</t>
  </si>
  <si>
    <t xml:space="preserve">fx-0143</t>
  </si>
  <si>
    <t xml:space="preserve">fx-0144</t>
  </si>
  <si>
    <t xml:space="preserve">fx-0145</t>
  </si>
  <si>
    <t xml:space="preserve">North Macedonia</t>
  </si>
  <si>
    <t xml:space="preserve">fx-0146</t>
  </si>
  <si>
    <t xml:space="preserve">fx-0147</t>
  </si>
  <si>
    <t xml:space="preserve">fx-0148</t>
  </si>
  <si>
    <t xml:space="preserve">fx-0149</t>
  </si>
  <si>
    <t xml:space="preserve">fx-0150</t>
  </si>
  <si>
    <t xml:space="preserve">fx-0151</t>
  </si>
  <si>
    <t xml:space="preserve">fx-0152</t>
  </si>
  <si>
    <t xml:space="preserve">fx-0153</t>
  </si>
  <si>
    <t xml:space="preserve">fx-0154</t>
  </si>
  <si>
    <t xml:space="preserve">fx-0155</t>
  </si>
  <si>
    <t xml:space="preserve">fx-0156</t>
  </si>
  <si>
    <t xml:space="preserve">fx-0157</t>
  </si>
  <si>
    <t xml:space="preserve">fx-0158</t>
  </si>
  <si>
    <t xml:space="preserve">fx-0159</t>
  </si>
  <si>
    <t xml:space="preserve">fx-0160</t>
  </si>
  <si>
    <t xml:space="preserve">fx-0161</t>
  </si>
  <si>
    <t xml:space="preserve">fx-0162</t>
  </si>
  <si>
    <t xml:space="preserve">fx-0163</t>
  </si>
  <si>
    <t xml:space="preserve">fx-0164</t>
  </si>
  <si>
    <t xml:space="preserve">fx-0165</t>
  </si>
  <si>
    <t xml:space="preserve">fx-0166</t>
  </si>
  <si>
    <t xml:space="preserve">fx-0167</t>
  </si>
  <si>
    <t xml:space="preserve">fx-0168</t>
  </si>
  <si>
    <t xml:space="preserve">fx-0169</t>
  </si>
  <si>
    <t xml:space="preserve">fx-0170</t>
  </si>
  <si>
    <t xml:space="preserve">fx-0171</t>
  </si>
  <si>
    <t xml:space="preserve">fx-0172</t>
  </si>
  <si>
    <t xml:space="preserve">Courtside 1891 on DAZN — official U.S. live/on-demand stream; subscription required; no VPN needed</t>
  </si>
  <si>
    <t xml:space="preserve">fx-0173</t>
  </si>
  <si>
    <t xml:space="preserve">fx-0174</t>
  </si>
  <si>
    <t xml:space="preserve">fx-0175</t>
  </si>
  <si>
    <t xml:space="preserve">fx-0176</t>
  </si>
  <si>
    <t xml:space="preserve">fx-0177</t>
  </si>
  <si>
    <t xml:space="preserve">fx-0178</t>
  </si>
  <si>
    <t xml:space="preserve">fx-0179</t>
  </si>
  <si>
    <t xml:space="preserve">fx-0180</t>
  </si>
  <si>
    <t xml:space="preserve">fx-0181</t>
  </si>
  <si>
    <t xml:space="preserve">fx-0182</t>
  </si>
  <si>
    <t xml:space="preserve">fx-0183</t>
  </si>
  <si>
    <t xml:space="preserve">fx-0184</t>
  </si>
  <si>
    <t xml:space="preserve">fx-0185</t>
  </si>
  <si>
    <t xml:space="preserve">fx-0186</t>
  </si>
  <si>
    <t xml:space="preserve">fx-0187</t>
  </si>
  <si>
    <t xml:space="preserve">fx-0188</t>
  </si>
  <si>
    <t xml:space="preserve">fx-0189</t>
  </si>
  <si>
    <t xml:space="preserve">fx-0190</t>
  </si>
  <si>
    <t xml:space="preserve">fx-0191</t>
  </si>
  <si>
    <t xml:space="preserve">fx-0192</t>
  </si>
  <si>
    <t xml:space="preserve">fx-0193</t>
  </si>
  <si>
    <t xml:space="preserve">fx-0194</t>
  </si>
  <si>
    <t xml:space="preserve">fx-0195</t>
  </si>
  <si>
    <t xml:space="preserve">fx-0196</t>
  </si>
  <si>
    <t xml:space="preserve">Not announced — BCB's U.S./worldwide media rights are still unresolved</t>
  </si>
  <si>
    <t xml:space="preserve">fx-0197</t>
  </si>
  <si>
    <t xml:space="preserve">Zimbabwe Women</t>
  </si>
  <si>
    <t xml:space="preserve">South Africa Women</t>
  </si>
  <si>
    <t xml:space="preserve">Series match 1 of 5</t>
  </si>
  <si>
    <t xml:space="preserve">Willow TV/Willow by Cricbuzz — U.S. rights holder for Zimbabwe Cricket; subscription required; no VPN expected</t>
  </si>
  <si>
    <t xml:space="preserve">fx-0198</t>
  </si>
  <si>
    <t xml:space="preserve">fx-0199</t>
  </si>
  <si>
    <t xml:space="preserve">WBSC GameTime — official live/on-demand stream ($14.99 group pass); AWSN television coverage; no VPN needed</t>
  </si>
  <si>
    <t xml:space="preserve">fx-0200</t>
  </si>
  <si>
    <t xml:space="preserve">fx-0201</t>
  </si>
  <si>
    <t xml:space="preserve">fx-0202</t>
  </si>
  <si>
    <t xml:space="preserve">fx-0203</t>
  </si>
  <si>
    <t xml:space="preserve">Series match 2 of 5</t>
  </si>
  <si>
    <t xml:space="preserve">fx-0204</t>
  </si>
  <si>
    <t xml:space="preserve">fx-0205</t>
  </si>
  <si>
    <t xml:space="preserve">fx-0206</t>
  </si>
  <si>
    <t xml:space="preserve">fx-0207</t>
  </si>
  <si>
    <t xml:space="preserve">fx-0208</t>
  </si>
  <si>
    <t xml:space="preserve">fx-0209</t>
  </si>
  <si>
    <t xml:space="preserve">fx-0210</t>
  </si>
  <si>
    <t xml:space="preserve">fx-0211</t>
  </si>
  <si>
    <t xml:space="preserve">fx-0212</t>
  </si>
  <si>
    <t xml:space="preserve">Series match 3 of 5</t>
  </si>
  <si>
    <t xml:space="preserve">fx-0213</t>
  </si>
  <si>
    <t xml:space="preserve">fx-0214</t>
  </si>
  <si>
    <t xml:space="preserve">Willow TV/Willow by Cricbuzz — official U.S. broadcast; subscription required; no VPN needed</t>
  </si>
  <si>
    <t xml:space="preserve">fx-0215</t>
  </si>
  <si>
    <t xml:space="preserve">fx-0216</t>
  </si>
  <si>
    <t xml:space="preserve">fx-0217</t>
  </si>
  <si>
    <t xml:space="preserve">fx-0218</t>
  </si>
  <si>
    <t xml:space="preserve">India Women</t>
  </si>
  <si>
    <t xml:space="preserve">Japan Women</t>
  </si>
  <si>
    <t xml:space="preserve">No confirmed U.S. broadcaster; VPN to India: Sony LIV/Sony Sports Network — Asian Games rights confirmed, cricket coverage TBA</t>
  </si>
  <si>
    <t xml:space="preserve">fx-0219</t>
  </si>
  <si>
    <t xml:space="preserve">Thailand Women</t>
  </si>
  <si>
    <t xml:space="preserve">fx-0220</t>
  </si>
  <si>
    <t xml:space="preserve">Series match 4 of 5</t>
  </si>
  <si>
    <t xml:space="preserve">fx-0221</t>
  </si>
  <si>
    <t xml:space="preserve">fx-0222</t>
  </si>
  <si>
    <t xml:space="preserve">Malaysia Women</t>
  </si>
  <si>
    <t xml:space="preserve">fx-0223</t>
  </si>
  <si>
    <t xml:space="preserve">Bangladesh Women</t>
  </si>
  <si>
    <t xml:space="preserve">China Women</t>
  </si>
  <si>
    <t xml:space="preserve">fx-0224</t>
  </si>
  <si>
    <t xml:space="preserve">Series match 5 of 5</t>
  </si>
  <si>
    <t xml:space="preserve">fx-0225</t>
  </si>
  <si>
    <t xml:space="preserve">fx-0226</t>
  </si>
  <si>
    <t xml:space="preserve">fx-0227</t>
  </si>
  <si>
    <t xml:space="preserve">Willow TV/Willow by Cricbuzz — official U.S. stream; subscription required; no VPN needed</t>
  </si>
  <si>
    <t xml:space="preserve">fx-0228</t>
  </si>
  <si>
    <t xml:space="preserve">U.S. broadcaster not yet announced; check WBSC GameTime, WBSC YouTube and DAZN closer to the event</t>
  </si>
  <si>
    <t xml:space="preserve">fx-0229</t>
  </si>
  <si>
    <t xml:space="preserve">fx-0230</t>
  </si>
  <si>
    <t xml:space="preserve">fx-0231</t>
  </si>
  <si>
    <t xml:space="preserve">fx-0232</t>
  </si>
  <si>
    <t xml:space="preserve">fx-0233</t>
  </si>
  <si>
    <t xml:space="preserve">fx-0234</t>
  </si>
  <si>
    <t xml:space="preserve">fx-0235</t>
  </si>
  <si>
    <t xml:space="preserve">fx-0236</t>
  </si>
  <si>
    <t xml:space="preserve">fx-0237</t>
  </si>
  <si>
    <t xml:space="preserve">fx-0238</t>
  </si>
  <si>
    <t xml:space="preserve">fx-0239</t>
  </si>
  <si>
    <t xml:space="preserve">fx-0240</t>
  </si>
  <si>
    <t xml:space="preserve">Nicaragua</t>
  </si>
  <si>
    <t xml:space="preserve">fx-0241</t>
  </si>
  <si>
    <t xml:space="preserve">Pre-qualifiers second round · Window 5</t>
  </si>
  <si>
    <t xml:space="preserve">Courtside 1891 on DAZN — official U.S. live/on-demand stream; time TBD</t>
  </si>
  <si>
    <t xml:space="preserve">fx-0242</t>
  </si>
  <si>
    <t xml:space="preserve">Second round · Window 5</t>
  </si>
  <si>
    <t xml:space="preserve">fx-0243</t>
  </si>
  <si>
    <t xml:space="preserve">fx-0244</t>
  </si>
  <si>
    <t xml:space="preserve">fx-0245</t>
  </si>
  <si>
    <t xml:space="preserve">fx-0246</t>
  </si>
  <si>
    <t xml:space="preserve">fx-0247</t>
  </si>
  <si>
    <t xml:space="preserve">fx-0248</t>
  </si>
  <si>
    <t xml:space="preserve">fx-0249</t>
  </si>
  <si>
    <t xml:space="preserve">fx-0250</t>
  </si>
  <si>
    <t xml:space="preserve">fx-0251</t>
  </si>
  <si>
    <t xml:space="preserve">fx-0252</t>
  </si>
  <si>
    <t xml:space="preserve">fx-0253</t>
  </si>
  <si>
    <t xml:space="preserve">fx-0254</t>
  </si>
  <si>
    <t xml:space="preserve">fx-0255</t>
  </si>
  <si>
    <t xml:space="preserve">fx-0256</t>
  </si>
  <si>
    <t xml:space="preserve">fx-0257</t>
  </si>
  <si>
    <t xml:space="preserve">Czech Republic</t>
  </si>
  <si>
    <t xml:space="preserve">fx-0258</t>
  </si>
  <si>
    <t xml:space="preserve">fx-0259</t>
  </si>
  <si>
    <t xml:space="preserve">fx-0260</t>
  </si>
  <si>
    <t xml:space="preserve">fx-0261</t>
  </si>
  <si>
    <t xml:space="preserve">fx-0262</t>
  </si>
  <si>
    <t xml:space="preserve">fx-0263</t>
  </si>
  <si>
    <t xml:space="preserve">fx-0264</t>
  </si>
  <si>
    <t xml:space="preserve">fx-0265</t>
  </si>
  <si>
    <t xml:space="preserve">fx-0266</t>
  </si>
  <si>
    <t xml:space="preserve">fx-0267</t>
  </si>
  <si>
    <t xml:space="preserve">fx-0268</t>
  </si>
  <si>
    <t xml:space="preserve">fx-0269</t>
  </si>
  <si>
    <t xml:space="preserve">fx-0270</t>
  </si>
  <si>
    <t xml:space="preserve">fx-0271</t>
  </si>
  <si>
    <t xml:space="preserve">fx-0272</t>
  </si>
  <si>
    <t xml:space="preserve">fx-0273</t>
  </si>
  <si>
    <t xml:space="preserve">fx-0274</t>
  </si>
  <si>
    <t xml:space="preserve">fx-0275</t>
  </si>
  <si>
    <t xml:space="preserve">fx-0276</t>
  </si>
  <si>
    <t xml:space="preserve">fx-0277</t>
  </si>
  <si>
    <t xml:space="preserve">fx-0278</t>
  </si>
  <si>
    <t xml:space="preserve">fx-0279</t>
  </si>
  <si>
    <t xml:space="preserve">fx-0280</t>
  </si>
  <si>
    <t xml:space="preserve">fx-0281</t>
  </si>
  <si>
    <t xml:space="preserve">fx-0282</t>
  </si>
  <si>
    <t xml:space="preserve">fx-0283</t>
  </si>
  <si>
    <t xml:space="preserve">fx-0284</t>
  </si>
  <si>
    <t xml:space="preserve">fx-0285</t>
  </si>
  <si>
    <t xml:space="preserve">fx-0286</t>
  </si>
  <si>
    <t xml:space="preserve">fx-0287</t>
  </si>
  <si>
    <t xml:space="preserve">fx-0288</t>
  </si>
  <si>
    <t xml:space="preserve">fx-0289</t>
  </si>
  <si>
    <t xml:space="preserve">fx-0290</t>
  </si>
  <si>
    <t xml:space="preserve">fx-0291</t>
  </si>
  <si>
    <t xml:space="preserve">fx-0292</t>
  </si>
  <si>
    <t xml:space="preserve">fx-0293</t>
  </si>
  <si>
    <t xml:space="preserve">fx-0294</t>
  </si>
  <si>
    <t xml:space="preserve">fx-0295</t>
  </si>
  <si>
    <t xml:space="preserve">fx-0296</t>
  </si>
  <si>
    <t xml:space="preserve">fx-0297</t>
  </si>
  <si>
    <t xml:space="preserve">fx-0298</t>
  </si>
  <si>
    <t xml:space="preserve">fx-0299</t>
  </si>
  <si>
    <t xml:space="preserve">fx-0300</t>
  </si>
  <si>
    <t xml:space="preserve">fx-0301</t>
  </si>
  <si>
    <t xml:space="preserve">fx-0302</t>
  </si>
  <si>
    <t xml:space="preserve">Willow TV/Willow by Cricbuzz — official U.S. broadcast and stream; subscription required; no VPN needed</t>
  </si>
  <si>
    <t xml:space="preserve">fx-0303</t>
  </si>
  <si>
    <t xml:space="preserve">fx-0304</t>
  </si>
  <si>
    <t xml:space="preserve">fx-0305</t>
  </si>
  <si>
    <t xml:space="preserve">Pre-qualifiers second round · Window 6</t>
  </si>
  <si>
    <t xml:space="preserve">fx-0306</t>
  </si>
  <si>
    <t xml:space="preserve">fx-0307</t>
  </si>
  <si>
    <t xml:space="preserve">Second round · Window 6</t>
  </si>
  <si>
    <t xml:space="preserve">fx-0308</t>
  </si>
  <si>
    <t xml:space="preserve">fx-0309</t>
  </si>
  <si>
    <t xml:space="preserve">fx-0310</t>
  </si>
  <si>
    <t xml:space="preserve">fx-0311</t>
  </si>
  <si>
    <t xml:space="preserve">fx-0312</t>
  </si>
  <si>
    <t xml:space="preserve">fx-0313</t>
  </si>
  <si>
    <t xml:space="preserve">fx-0314</t>
  </si>
  <si>
    <t xml:space="preserve">fx-0315</t>
  </si>
  <si>
    <t xml:space="preserve">fx-0316</t>
  </si>
  <si>
    <t xml:space="preserve">fx-0317</t>
  </si>
  <si>
    <t xml:space="preserve">fx-0318</t>
  </si>
  <si>
    <t xml:space="preserve">fx-0319</t>
  </si>
  <si>
    <t xml:space="preserve">fx-0320</t>
  </si>
  <si>
    <t xml:space="preserve">fx-0321</t>
  </si>
  <si>
    <t xml:space="preserve">fx-0322</t>
  </si>
  <si>
    <t xml:space="preserve">fx-0323</t>
  </si>
  <si>
    <t xml:space="preserve">fx-0324</t>
  </si>
  <si>
    <t xml:space="preserve">fx-0325</t>
  </si>
  <si>
    <t xml:space="preserve">fx-0326</t>
  </si>
  <si>
    <t xml:space="preserve">fx-0327</t>
  </si>
  <si>
    <t xml:space="preserve">fx-0328</t>
  </si>
  <si>
    <t xml:space="preserve">fx-0329</t>
  </si>
  <si>
    <t xml:space="preserve">fx-0330</t>
  </si>
  <si>
    <t xml:space="preserve">fx-0331</t>
  </si>
  <si>
    <t xml:space="preserve">fx-0332</t>
  </si>
  <si>
    <t xml:space="preserve">fx-0333</t>
  </si>
  <si>
    <t xml:space="preserve">fx-0334</t>
  </si>
  <si>
    <t xml:space="preserve">fx-0335</t>
  </si>
  <si>
    <t xml:space="preserve">fx-0336</t>
  </si>
  <si>
    <t xml:space="preserve">fx-0337</t>
  </si>
  <si>
    <t xml:space="preserve">fx-0338</t>
  </si>
  <si>
    <t xml:space="preserve">fx-0339</t>
  </si>
  <si>
    <t xml:space="preserve">fx-0340</t>
  </si>
  <si>
    <t xml:space="preserve">fx-0341</t>
  </si>
  <si>
    <t xml:space="preserve">fx-0342</t>
  </si>
  <si>
    <t xml:space="preserve">fx-0343</t>
  </si>
  <si>
    <t xml:space="preserve">fx-0344</t>
  </si>
  <si>
    <t xml:space="preserve">fx-0345</t>
  </si>
  <si>
    <t xml:space="preserve">fx-0346</t>
  </si>
  <si>
    <t xml:space="preserve">fx-0347</t>
  </si>
  <si>
    <t xml:space="preserve">fx-0348</t>
  </si>
  <si>
    <t xml:space="preserve">fx-0349</t>
  </si>
  <si>
    <t xml:space="preserve">fx-0350</t>
  </si>
  <si>
    <t xml:space="preserve">fx-0351</t>
  </si>
  <si>
    <t xml:space="preserve">fx-0352</t>
  </si>
  <si>
    <t xml:space="preserve">fx-0353</t>
  </si>
  <si>
    <t xml:space="preserve">fx-0354</t>
  </si>
  <si>
    <t xml:space="preserve">fx-0355</t>
  </si>
  <si>
    <t xml:space="preserve">fx-0356</t>
  </si>
  <si>
    <t xml:space="preserve">fx-0357</t>
  </si>
  <si>
    <t xml:space="preserve">fx-0358</t>
  </si>
  <si>
    <t xml:space="preserve">fx-0359</t>
  </si>
  <si>
    <t xml:space="preserve">fx-0360</t>
  </si>
  <si>
    <t xml:space="preserve">fx-0361</t>
  </si>
  <si>
    <t xml:space="preserve">fx-0362</t>
  </si>
  <si>
    <t xml:space="preserve">fx-0363</t>
  </si>
  <si>
    <t xml:space="preserve">fx-0364</t>
  </si>
  <si>
    <t xml:space="preserve">fx-0365</t>
  </si>
  <si>
    <t xml:space="preserve">fx-0366</t>
  </si>
  <si>
    <t xml:space="preserve">fx-0367</t>
  </si>
  <si>
    <t xml:space="preserve">fx-0368</t>
  </si>
  <si>
    <t xml:space="preserve">fx-0369</t>
  </si>
  <si>
    <t xml:space="preserve">fx-0370</t>
  </si>
  <si>
    <t xml:space="preserve">fx-0371</t>
  </si>
  <si>
    <t xml:space="preserve">fx-0372</t>
  </si>
  <si>
    <t xml:space="preserve">fx-0373</t>
  </si>
  <si>
    <t xml:space="preserve">fx-0374</t>
  </si>
  <si>
    <t xml:space="preserve">fx-0375</t>
  </si>
  <si>
    <t xml:space="preserve">fx-0376</t>
  </si>
  <si>
    <t xml:space="preserve">fx-0377</t>
  </si>
  <si>
    <t xml:space="preserve">fx-0378</t>
  </si>
  <si>
    <t xml:space="preserve">fx-0379</t>
  </si>
  <si>
    <t xml:space="preserve">fx-0380</t>
  </si>
  <si>
    <t xml:space="preserve">fx-0381</t>
  </si>
  <si>
    <t xml:space="preserve">fx-0382</t>
  </si>
  <si>
    <t xml:space="preserve">fx-0383</t>
  </si>
  <si>
    <t xml:space="preserve">fx-0384</t>
  </si>
  <si>
    <t xml:space="preserve">fx-0385</t>
  </si>
  <si>
    <t xml:space="preserve">fx-0386</t>
  </si>
  <si>
    <t xml:space="preserve">fx-0387</t>
  </si>
  <si>
    <t xml:space="preserve">fx-0388</t>
  </si>
  <si>
    <t xml:space="preserve">fx-0389</t>
  </si>
  <si>
    <t xml:space="preserve">fx-0390</t>
  </si>
</sst>
</file>

<file path=xl/styles.xml><?xml version="1.0" encoding="utf-8"?>
<styleSheet xmlns="http://schemas.openxmlformats.org/spreadsheetml/2006/main">
  <numFmts count="2">
    <numFmt numFmtId="164" formatCode="General"/>
    <numFmt numFmtId="165" formatCode="yyyy\-mm\-dd\ h:mm:ss"/>
  </numFmts>
  <fonts count="8">
    <font>
      <sz val="11"/>
      <color theme="1"/>
      <name val="Calibri"/>
      <family val="2"/>
      <charset val="1"/>
    </font>
    <font>
      <sz val="10"/>
      <name val="Arial"/>
      <family val="0"/>
    </font>
    <font>
      <sz val="10"/>
      <name val="Arial"/>
      <family val="0"/>
    </font>
    <font>
      <sz val="10"/>
      <name val="Arial"/>
      <family val="0"/>
    </font>
    <font>
      <b val="true"/>
      <sz val="11"/>
      <color rgb="FF1F3864"/>
      <name val="Arial"/>
      <family val="0"/>
      <charset val="1"/>
    </font>
    <font>
      <sz val="11"/>
      <color rgb="FF000000"/>
      <name val="Arial"/>
      <family val="0"/>
      <charset val="1"/>
    </font>
    <font>
      <b val="true"/>
      <sz val="10"/>
      <color rgb="FFFFFFFF"/>
      <name val="Arial"/>
      <family val="0"/>
      <charset val="1"/>
    </font>
    <font>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4"/>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1" t="s">
        <v>1</v>
      </c>
    </row>
    <row r="4" customFormat="false" ht="15" hidden="false" customHeight="false" outlineLevel="0" collapsed="false">
      <c r="A4" s="2"/>
    </row>
    <row r="5" customFormat="false" ht="15" hidden="false" customHeight="false" outlineLevel="0" collapsed="false">
      <c r="A5" s="1"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row>
    <row r="22" customFormat="false" ht="15" hidden="false" customHeight="false" outlineLevel="0" collapsed="false">
      <c r="A22" s="1" t="s">
        <v>17</v>
      </c>
    </row>
    <row r="23" customFormat="false" ht="15" hidden="false" customHeight="false" outlineLevel="0" collapsed="false">
      <c r="A23" s="2" t="s">
        <v>18</v>
      </c>
    </row>
    <row r="24" customFormat="false" ht="15" hidden="false" customHeight="false" outlineLevel="0" collapsed="false">
      <c r="A24" s="2" t="s">
        <v>19</v>
      </c>
    </row>
    <row r="25" customFormat="false" ht="15" hidden="false" customHeight="false" outlineLevel="0" collapsed="false">
      <c r="A25" s="2" t="s">
        <v>20</v>
      </c>
    </row>
    <row r="26" customFormat="false" ht="15" hidden="false" customHeight="false" outlineLevel="0" collapsed="false">
      <c r="A26" s="2"/>
    </row>
    <row r="27" customFormat="false" ht="15" hidden="false" customHeight="false" outlineLevel="0" collapsed="false">
      <c r="A27" s="1" t="s">
        <v>21</v>
      </c>
    </row>
    <row r="28" customFormat="false" ht="15" hidden="false" customHeight="false" outlineLevel="0" collapsed="false">
      <c r="A28" s="2" t="s">
        <v>22</v>
      </c>
    </row>
    <row r="29" customFormat="false" ht="15" hidden="false" customHeight="false" outlineLevel="0" collapsed="false">
      <c r="A29" s="2" t="s">
        <v>23</v>
      </c>
    </row>
    <row r="30" customFormat="false" ht="15" hidden="false" customHeight="false" outlineLevel="0" collapsed="false">
      <c r="A30" s="2" t="s">
        <v>24</v>
      </c>
    </row>
    <row r="31" customFormat="false" ht="15" hidden="false" customHeight="false" outlineLevel="0" collapsed="false">
      <c r="A31" s="2"/>
    </row>
    <row r="32" customFormat="false" ht="15" hidden="false" customHeight="false" outlineLevel="0" collapsed="false">
      <c r="A32" s="1" t="s">
        <v>25</v>
      </c>
    </row>
    <row r="33" customFormat="false" ht="15" hidden="false" customHeight="false" outlineLevel="0" collapsed="false">
      <c r="A33" s="2" t="s">
        <v>26</v>
      </c>
    </row>
    <row r="34" customFormat="false" ht="15" hidden="false" customHeight="false" outlineLevel="0" collapsed="false">
      <c r="A34" s="2" t="s">
        <v>27</v>
      </c>
    </row>
    <row r="35" customFormat="false" ht="15" hidden="false" customHeight="false" outlineLevel="0" collapsed="false">
      <c r="A35" s="2"/>
    </row>
    <row r="36" customFormat="false" ht="15" hidden="false" customHeight="false" outlineLevel="0" collapsed="false">
      <c r="A36" s="1" t="s">
        <v>28</v>
      </c>
    </row>
    <row r="37" customFormat="false" ht="15" hidden="false" customHeight="false" outlineLevel="0" collapsed="false">
      <c r="A37" s="2"/>
    </row>
    <row r="38" customFormat="false" ht="15" hidden="false" customHeight="false" outlineLevel="0" collapsed="false">
      <c r="A38" s="1" t="s">
        <v>29</v>
      </c>
    </row>
    <row r="39" customFormat="false" ht="15" hidden="false" customHeight="false" outlineLevel="0" collapsed="false">
      <c r="A39" s="2" t="s">
        <v>30</v>
      </c>
    </row>
    <row r="40" customFormat="false" ht="15" hidden="false" customHeight="false" outlineLevel="0" collapsed="false">
      <c r="A40" s="2" t="s">
        <v>31</v>
      </c>
    </row>
    <row r="41" customFormat="false" ht="15" hidden="false" customHeight="false" outlineLevel="0" collapsed="false">
      <c r="A41" s="2" t="s">
        <v>32</v>
      </c>
    </row>
    <row r="42" customFormat="false" ht="15" hidden="false" customHeight="false" outlineLevel="0" collapsed="false">
      <c r="A42" s="2" t="s">
        <v>33</v>
      </c>
    </row>
    <row r="43" customFormat="false" ht="15" hidden="false" customHeight="false" outlineLevel="0" collapsed="false">
      <c r="A43" s="2" t="s">
        <v>34</v>
      </c>
    </row>
    <row r="44" customFormat="false" ht="15" hidden="false" customHeight="false" outlineLevel="0" collapsed="false">
      <c r="A44" s="2" t="s">
        <v>35</v>
      </c>
    </row>
    <row r="45" customFormat="false" ht="15" hidden="false" customHeight="false" outlineLevel="0" collapsed="false">
      <c r="A45" s="2" t="s">
        <v>36</v>
      </c>
    </row>
    <row r="46" customFormat="false" ht="15" hidden="false" customHeight="false" outlineLevel="0" collapsed="false">
      <c r="A46" s="2" t="s">
        <v>37</v>
      </c>
    </row>
    <row r="47" customFormat="false" ht="15" hidden="false" customHeight="false" outlineLevel="0" collapsed="false">
      <c r="A47" s="2" t="s">
        <v>38</v>
      </c>
    </row>
    <row r="48" customFormat="false" ht="15" hidden="false" customHeight="false" outlineLevel="0" collapsed="false">
      <c r="A48" s="2"/>
    </row>
    <row r="49" customFormat="false" ht="15" hidden="false" customHeight="false" outlineLevel="0" collapsed="false">
      <c r="A49" s="1" t="s">
        <v>39</v>
      </c>
    </row>
    <row r="50" customFormat="false" ht="15" hidden="false" customHeight="false" outlineLevel="0" collapsed="false">
      <c r="A50" s="2" t="s">
        <v>40</v>
      </c>
    </row>
    <row r="51" customFormat="false" ht="15" hidden="false" customHeight="false" outlineLevel="0" collapsed="false">
      <c r="A51" s="2" t="s">
        <v>41</v>
      </c>
    </row>
    <row r="52" customFormat="false" ht="15" hidden="false" customHeight="false" outlineLevel="0" collapsed="false">
      <c r="A52" s="2" t="s">
        <v>42</v>
      </c>
    </row>
    <row r="53" customFormat="false" ht="15" hidden="false" customHeight="false" outlineLevel="0" collapsed="false">
      <c r="A53" s="2" t="s">
        <v>43</v>
      </c>
    </row>
    <row r="54" customFormat="false" ht="15" hidden="false" customHeight="false" outlineLevel="0" collapsed="false">
      <c r="A54" s="2"/>
    </row>
    <row r="55" customFormat="false" ht="15" hidden="false" customHeight="false" outlineLevel="0" collapsed="false">
      <c r="A55" s="2" t="s">
        <v>44</v>
      </c>
    </row>
    <row r="56" customFormat="false" ht="15" hidden="false" customHeight="false" outlineLevel="0" collapsed="false">
      <c r="A56" s="2"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4" min="4" style="0" width="30"/>
    <col collapsed="false" customWidth="true" hidden="false" outlineLevel="0" max="7" min="7" style="0" width="46"/>
    <col collapsed="false" customWidth="true" hidden="false" outlineLevel="0" max="8" min="8" style="0" width="78"/>
  </cols>
  <sheetData>
    <row r="1" customFormat="false" ht="15" hidden="false" customHeight="false" outlineLevel="0" collapsed="false">
      <c r="A1" s="3" t="s">
        <v>46</v>
      </c>
      <c r="B1" s="3" t="s">
        <v>47</v>
      </c>
      <c r="C1" s="3" t="s">
        <v>48</v>
      </c>
      <c r="D1" s="3" t="s">
        <v>49</v>
      </c>
      <c r="E1" s="3" t="s">
        <v>50</v>
      </c>
      <c r="F1" s="3" t="s">
        <v>51</v>
      </c>
      <c r="G1" s="3" t="s">
        <v>52</v>
      </c>
      <c r="H1" s="3" t="s">
        <v>53</v>
      </c>
      <c r="I1" s="3" t="s">
        <v>54</v>
      </c>
    </row>
    <row r="2" customFormat="false" ht="35.05" hidden="false" customHeight="false" outlineLevel="0" collapsed="false">
      <c r="A2" s="4" t="s">
        <v>55</v>
      </c>
      <c r="B2" s="4" t="s">
        <v>56</v>
      </c>
      <c r="C2" s="4" t="s">
        <v>57</v>
      </c>
      <c r="D2" s="4" t="s">
        <v>58</v>
      </c>
      <c r="E2" s="4" t="n">
        <v>10</v>
      </c>
      <c r="F2" s="4" t="s">
        <v>59</v>
      </c>
      <c r="G2" s="4" t="s">
        <v>60</v>
      </c>
      <c r="H2" s="5" t="s">
        <v>61</v>
      </c>
      <c r="I2" s="4" t="str">
        <f aca="false">IF(E2="","no quota",IF(SUMIF(Links!D:D,A2,Links!G:G)=E2,"OK","MISMATCH: "&amp;SUMIF(Links!D:D,A2,Links!G:G)&amp;" of "&amp;E2))</f>
        <v>OK</v>
      </c>
    </row>
    <row r="3" customFormat="false" ht="23.85" hidden="false" customHeight="false" outlineLevel="0" collapsed="false">
      <c r="A3" s="4" t="s">
        <v>62</v>
      </c>
      <c r="B3" s="4" t="s">
        <v>56</v>
      </c>
      <c r="C3" s="4" t="s">
        <v>57</v>
      </c>
      <c r="D3" s="4" t="s">
        <v>63</v>
      </c>
      <c r="E3" s="4" t="n">
        <v>8</v>
      </c>
      <c r="F3" s="4" t="s">
        <v>64</v>
      </c>
      <c r="G3" s="4" t="s">
        <v>60</v>
      </c>
      <c r="H3" s="5" t="s">
        <v>65</v>
      </c>
      <c r="I3" s="4" t="str">
        <f aca="false">IF(E3="","no quota",IF(SUMIF(Links!D:D,A3,Links!G:G)=E3,"OK","MISMATCH: "&amp;SUMIF(Links!D:D,A3,Links!G:G)&amp;" of "&amp;E3))</f>
        <v>OK</v>
      </c>
    </row>
    <row r="4" customFormat="false" ht="35.05" hidden="false" customHeight="false" outlineLevel="0" collapsed="false">
      <c r="A4" s="4" t="s">
        <v>66</v>
      </c>
      <c r="B4" s="4" t="s">
        <v>56</v>
      </c>
      <c r="C4" s="4" t="s">
        <v>57</v>
      </c>
      <c r="D4" s="4" t="s">
        <v>67</v>
      </c>
      <c r="E4" s="4" t="n">
        <v>10</v>
      </c>
      <c r="F4" s="4" t="s">
        <v>59</v>
      </c>
      <c r="G4" s="4" t="s">
        <v>60</v>
      </c>
      <c r="H4" s="5" t="s">
        <v>61</v>
      </c>
      <c r="I4" s="4" t="str">
        <f aca="false">IF(E4="","no quota",IF(SUMIF(Links!D:D,A4,Links!G:G)=E4,"OK","MISMATCH: "&amp;SUMIF(Links!D:D,A4,Links!G:G)&amp;" of "&amp;E4))</f>
        <v>OK</v>
      </c>
    </row>
    <row r="5" customFormat="false" ht="23.85" hidden="false" customHeight="false" outlineLevel="0" collapsed="false">
      <c r="A5" s="4" t="s">
        <v>68</v>
      </c>
      <c r="B5" s="4" t="s">
        <v>56</v>
      </c>
      <c r="C5" s="4" t="s">
        <v>57</v>
      </c>
      <c r="D5" s="4" t="s">
        <v>69</v>
      </c>
      <c r="E5" s="4" t="n">
        <v>8</v>
      </c>
      <c r="F5" s="4" t="s">
        <v>64</v>
      </c>
      <c r="G5" s="4" t="s">
        <v>60</v>
      </c>
      <c r="H5" s="5" t="s">
        <v>65</v>
      </c>
      <c r="I5" s="4" t="str">
        <f aca="false">IF(E5="","no quota",IF(SUMIF(Links!D:D,A5,Links!G:G)=E5,"OK","MISMATCH: "&amp;SUMIF(Links!D:D,A5,Links!G:G)&amp;" of "&amp;E5))</f>
        <v>OK</v>
      </c>
    </row>
    <row r="6" customFormat="false" ht="35.05" hidden="false" customHeight="false" outlineLevel="0" collapsed="false">
      <c r="A6" s="4" t="s">
        <v>70</v>
      </c>
      <c r="B6" s="4" t="s">
        <v>56</v>
      </c>
      <c r="C6" s="4" t="s">
        <v>57</v>
      </c>
      <c r="D6" s="4" t="s">
        <v>71</v>
      </c>
      <c r="E6" s="4" t="n">
        <v>10</v>
      </c>
      <c r="F6" s="4" t="s">
        <v>59</v>
      </c>
      <c r="G6" s="4" t="s">
        <v>60</v>
      </c>
      <c r="H6" s="5" t="s">
        <v>61</v>
      </c>
      <c r="I6" s="4" t="str">
        <f aca="false">IF(E6="","no quota",IF(SUMIF(Links!D:D,A6,Links!G:G)=E6,"OK","MISMATCH: "&amp;SUMIF(Links!D:D,A6,Links!G:G)&amp;" of "&amp;E6))</f>
        <v>OK</v>
      </c>
    </row>
    <row r="7" customFormat="false" ht="23.85" hidden="false" customHeight="false" outlineLevel="0" collapsed="false">
      <c r="A7" s="4" t="s">
        <v>72</v>
      </c>
      <c r="B7" s="4" t="s">
        <v>56</v>
      </c>
      <c r="C7" s="4" t="s">
        <v>57</v>
      </c>
      <c r="D7" s="4" t="s">
        <v>73</v>
      </c>
      <c r="E7" s="4" t="n">
        <v>8</v>
      </c>
      <c r="F7" s="4" t="s">
        <v>64</v>
      </c>
      <c r="G7" s="4" t="s">
        <v>60</v>
      </c>
      <c r="H7" s="5" t="s">
        <v>65</v>
      </c>
      <c r="I7" s="4" t="str">
        <f aca="false">IF(E7="","no quota",IF(SUMIF(Links!D:D,A7,Links!G:G)=E7,"OK","MISMATCH: "&amp;SUMIF(Links!D:D,A7,Links!G:G)&amp;" of "&amp;E7))</f>
        <v>OK</v>
      </c>
    </row>
    <row r="8" customFormat="false" ht="35.05" hidden="false" customHeight="false" outlineLevel="0" collapsed="false">
      <c r="A8" s="4" t="s">
        <v>74</v>
      </c>
      <c r="B8" s="4" t="s">
        <v>56</v>
      </c>
      <c r="C8" s="4" t="s">
        <v>75</v>
      </c>
      <c r="D8" s="4" t="s">
        <v>76</v>
      </c>
      <c r="E8" s="4" t="n">
        <v>10</v>
      </c>
      <c r="F8" s="4" t="s">
        <v>59</v>
      </c>
      <c r="G8" s="4" t="s">
        <v>60</v>
      </c>
      <c r="H8" s="5" t="s">
        <v>61</v>
      </c>
      <c r="I8" s="4" t="str">
        <f aca="false">IF(E8="","no quota",IF(SUMIF(Links!D:D,A8,Links!G:G)=E8,"OK","MISMATCH: "&amp;SUMIF(Links!D:D,A8,Links!G:G)&amp;" of "&amp;E8))</f>
        <v>OK</v>
      </c>
    </row>
    <row r="9" customFormat="false" ht="23.85" hidden="false" customHeight="false" outlineLevel="0" collapsed="false">
      <c r="A9" s="4" t="s">
        <v>77</v>
      </c>
      <c r="B9" s="4" t="s">
        <v>56</v>
      </c>
      <c r="C9" s="4" t="s">
        <v>75</v>
      </c>
      <c r="D9" s="4" t="s">
        <v>78</v>
      </c>
      <c r="E9" s="4" t="n">
        <v>8</v>
      </c>
      <c r="F9" s="4" t="s">
        <v>64</v>
      </c>
      <c r="G9" s="4" t="s">
        <v>60</v>
      </c>
      <c r="H9" s="5" t="s">
        <v>65</v>
      </c>
      <c r="I9" s="4" t="str">
        <f aca="false">IF(E9="","no quota",IF(SUMIF(Links!D:D,A9,Links!G:G)=E9,"OK","MISMATCH: "&amp;SUMIF(Links!D:D,A9,Links!G:G)&amp;" of "&amp;E9))</f>
        <v>OK</v>
      </c>
    </row>
    <row r="10" customFormat="false" ht="35.05" hidden="false" customHeight="false" outlineLevel="0" collapsed="false">
      <c r="A10" s="4" t="s">
        <v>79</v>
      </c>
      <c r="B10" s="4" t="s">
        <v>56</v>
      </c>
      <c r="C10" s="4" t="s">
        <v>75</v>
      </c>
      <c r="D10" s="4" t="s">
        <v>80</v>
      </c>
      <c r="E10" s="4" t="n">
        <v>10</v>
      </c>
      <c r="F10" s="4" t="s">
        <v>59</v>
      </c>
      <c r="G10" s="4" t="s">
        <v>60</v>
      </c>
      <c r="H10" s="5" t="s">
        <v>61</v>
      </c>
      <c r="I10" s="4" t="str">
        <f aca="false">IF(E10="","no quota",IF(SUMIF(Links!D:D,A10,Links!G:G)=E10,"OK","MISMATCH: "&amp;SUMIF(Links!D:D,A10,Links!G:G)&amp;" of "&amp;E10))</f>
        <v>OK</v>
      </c>
    </row>
    <row r="11" customFormat="false" ht="23.85" hidden="false" customHeight="false" outlineLevel="0" collapsed="false">
      <c r="A11" s="4" t="s">
        <v>81</v>
      </c>
      <c r="B11" s="4" t="s">
        <v>56</v>
      </c>
      <c r="C11" s="4" t="s">
        <v>75</v>
      </c>
      <c r="D11" s="4" t="s">
        <v>82</v>
      </c>
      <c r="E11" s="4" t="n">
        <v>8</v>
      </c>
      <c r="F11" s="4" t="s">
        <v>64</v>
      </c>
      <c r="G11" s="4" t="s">
        <v>60</v>
      </c>
      <c r="H11" s="5" t="s">
        <v>65</v>
      </c>
      <c r="I11" s="4" t="str">
        <f aca="false">IF(E11="","no quota",IF(SUMIF(Links!D:D,A11,Links!G:G)=E11,"OK","MISMATCH: "&amp;SUMIF(Links!D:D,A11,Links!G:G)&amp;" of "&amp;E11))</f>
        <v>OK</v>
      </c>
    </row>
    <row r="12" customFormat="false" ht="35.05" hidden="false" customHeight="false" outlineLevel="0" collapsed="false">
      <c r="A12" s="4" t="s">
        <v>83</v>
      </c>
      <c r="B12" s="4" t="s">
        <v>56</v>
      </c>
      <c r="C12" s="4" t="s">
        <v>75</v>
      </c>
      <c r="D12" s="4" t="s">
        <v>84</v>
      </c>
      <c r="E12" s="4" t="n">
        <v>10</v>
      </c>
      <c r="F12" s="4" t="s">
        <v>59</v>
      </c>
      <c r="G12" s="4" t="s">
        <v>60</v>
      </c>
      <c r="H12" s="5" t="s">
        <v>61</v>
      </c>
      <c r="I12" s="4" t="str">
        <f aca="false">IF(E12="","no quota",IF(SUMIF(Links!D:D,A12,Links!G:G)=E12,"OK","MISMATCH: "&amp;SUMIF(Links!D:D,A12,Links!G:G)&amp;" of "&amp;E12))</f>
        <v>OK</v>
      </c>
    </row>
    <row r="13" customFormat="false" ht="23.85" hidden="false" customHeight="false" outlineLevel="0" collapsed="false">
      <c r="A13" s="4" t="s">
        <v>85</v>
      </c>
      <c r="B13" s="4" t="s">
        <v>56</v>
      </c>
      <c r="C13" s="4" t="s">
        <v>75</v>
      </c>
      <c r="D13" s="4" t="s">
        <v>86</v>
      </c>
      <c r="E13" s="4" t="n">
        <v>8</v>
      </c>
      <c r="F13" s="4" t="s">
        <v>64</v>
      </c>
      <c r="G13" s="4" t="s">
        <v>60</v>
      </c>
      <c r="H13" s="5" t="s">
        <v>65</v>
      </c>
      <c r="I13" s="4" t="str">
        <f aca="false">IF(E13="","no quota",IF(SUMIF(Links!D:D,A13,Links!G:G)=E13,"OK","MISMATCH: "&amp;SUMIF(Links!D:D,A13,Links!G:G)&amp;" of "&amp;E13))</f>
        <v>OK</v>
      </c>
    </row>
    <row r="14" customFormat="false" ht="35.05" hidden="false" customHeight="false" outlineLevel="0" collapsed="false">
      <c r="A14" s="4" t="s">
        <v>87</v>
      </c>
      <c r="B14" s="4" t="s">
        <v>56</v>
      </c>
      <c r="C14" s="4" t="s">
        <v>88</v>
      </c>
      <c r="D14" s="4" t="s">
        <v>89</v>
      </c>
      <c r="E14" s="4" t="n">
        <v>8</v>
      </c>
      <c r="F14" s="4" t="s">
        <v>59</v>
      </c>
      <c r="G14" s="4" t="s">
        <v>60</v>
      </c>
      <c r="H14" s="5" t="s">
        <v>90</v>
      </c>
      <c r="I14" s="4" t="str">
        <f aca="false">IF(E14="","no quota",IF(SUMIF(Links!D:D,A14,Links!G:G)=E14,"OK","MISMATCH: "&amp;SUMIF(Links!D:D,A14,Links!G:G)&amp;" of "&amp;E14))</f>
        <v>OK</v>
      </c>
    </row>
    <row r="15" customFormat="false" ht="23.85" hidden="false" customHeight="false" outlineLevel="0" collapsed="false">
      <c r="A15" s="4" t="s">
        <v>91</v>
      </c>
      <c r="B15" s="4" t="s">
        <v>92</v>
      </c>
      <c r="C15" s="4" t="s">
        <v>57</v>
      </c>
      <c r="D15" s="4" t="s">
        <v>93</v>
      </c>
      <c r="E15" s="4" t="n">
        <v>6</v>
      </c>
      <c r="F15" s="4" t="s">
        <v>64</v>
      </c>
      <c r="G15" s="4" t="s">
        <v>94</v>
      </c>
      <c r="H15" s="5" t="s">
        <v>95</v>
      </c>
      <c r="I15" s="4" t="str">
        <f aca="false">IF(E15="","no quota",IF(SUMIF(Links!D:D,A15,Links!G:G)=E15,"OK","MISMATCH: "&amp;SUMIF(Links!D:D,A15,Links!G:G)&amp;" of "&amp;E15))</f>
        <v>OK</v>
      </c>
    </row>
    <row r="16" customFormat="false" ht="23.85" hidden="false" customHeight="false" outlineLevel="0" collapsed="false">
      <c r="A16" s="4" t="s">
        <v>96</v>
      </c>
      <c r="B16" s="4" t="s">
        <v>92</v>
      </c>
      <c r="C16" s="4" t="s">
        <v>75</v>
      </c>
      <c r="D16" s="4" t="s">
        <v>97</v>
      </c>
      <c r="E16" s="4" t="n">
        <v>6</v>
      </c>
      <c r="F16" s="4" t="s">
        <v>64</v>
      </c>
      <c r="G16" s="4" t="s">
        <v>94</v>
      </c>
      <c r="H16" s="5" t="s">
        <v>95</v>
      </c>
      <c r="I16" s="4" t="str">
        <f aca="false">IF(E16="","no quota",IF(SUMIF(Links!D:D,A16,Links!G:G)=E16,"OK","MISMATCH: "&amp;SUMIF(Links!D:D,A16,Links!G:G)&amp;" of "&amp;E16))</f>
        <v>OK</v>
      </c>
    </row>
    <row r="17" customFormat="false" ht="35.05" hidden="false" customHeight="false" outlineLevel="0" collapsed="false">
      <c r="A17" s="4" t="s">
        <v>98</v>
      </c>
      <c r="B17" s="4" t="s">
        <v>99</v>
      </c>
      <c r="C17" s="4" t="s">
        <v>57</v>
      </c>
      <c r="D17" s="4" t="s">
        <v>100</v>
      </c>
      <c r="E17" s="4" t="n">
        <v>12</v>
      </c>
      <c r="F17" s="4" t="s">
        <v>64</v>
      </c>
      <c r="G17" s="4" t="s">
        <v>101</v>
      </c>
      <c r="H17" s="5" t="s">
        <v>102</v>
      </c>
      <c r="I17" s="4" t="str">
        <f aca="false">IF(E17="","no quota",IF(SUMIF(Links!D:D,A17,Links!G:G)=E17,"OK","MISMATCH: "&amp;SUMIF(Links!D:D,A17,Links!G:G)&amp;" of "&amp;E17))</f>
        <v>OK</v>
      </c>
    </row>
    <row r="18" customFormat="false" ht="35.05" hidden="false" customHeight="false" outlineLevel="0" collapsed="false">
      <c r="A18" s="4" t="s">
        <v>103</v>
      </c>
      <c r="B18" s="4" t="s">
        <v>99</v>
      </c>
      <c r="C18" s="4" t="s">
        <v>75</v>
      </c>
      <c r="D18" s="4" t="s">
        <v>104</v>
      </c>
      <c r="E18" s="4" t="n">
        <v>16</v>
      </c>
      <c r="F18" s="4" t="s">
        <v>64</v>
      </c>
      <c r="G18" s="4" t="s">
        <v>105</v>
      </c>
      <c r="H18" s="5" t="s">
        <v>106</v>
      </c>
      <c r="I18" s="4" t="str">
        <f aca="false">IF(E18="","no quota",IF(SUMIF(Links!D:D,A18,Links!G:G)=E18,"OK","MISMATCH: "&amp;SUMIF(Links!D:D,A18,Links!G:G)&amp;" of "&amp;E18))</f>
        <v>OK</v>
      </c>
    </row>
    <row r="19" customFormat="false" ht="23.85" hidden="false" customHeight="false" outlineLevel="0" collapsed="false">
      <c r="A19" s="4" t="s">
        <v>107</v>
      </c>
      <c r="B19" s="4" t="s">
        <v>108</v>
      </c>
      <c r="C19" s="4" t="s">
        <v>57</v>
      </c>
      <c r="D19" s="4" t="s">
        <v>109</v>
      </c>
      <c r="E19" s="4" t="n">
        <v>12</v>
      </c>
      <c r="F19" s="4" t="s">
        <v>64</v>
      </c>
      <c r="G19" s="4" t="s">
        <v>110</v>
      </c>
      <c r="H19" s="5" t="s">
        <v>111</v>
      </c>
      <c r="I19" s="4" t="str">
        <f aca="false">IF(E19="","no quota",IF(SUMIF(Links!D:D,A19,Links!G:G)=E19,"OK","MISMATCH: "&amp;SUMIF(Links!D:D,A19,Links!G:G)&amp;" of "&amp;E19))</f>
        <v>OK</v>
      </c>
    </row>
    <row r="20" customFormat="false" ht="35.05" hidden="false" customHeight="false" outlineLevel="0" collapsed="false">
      <c r="A20" s="4" t="s">
        <v>112</v>
      </c>
      <c r="B20" s="4" t="s">
        <v>108</v>
      </c>
      <c r="C20" s="4" t="s">
        <v>75</v>
      </c>
      <c r="D20" s="4" t="s">
        <v>113</v>
      </c>
      <c r="E20" s="4" t="n">
        <v>12</v>
      </c>
      <c r="F20" s="4" t="s">
        <v>64</v>
      </c>
      <c r="G20" s="4" t="s">
        <v>110</v>
      </c>
      <c r="H20" s="5" t="s">
        <v>114</v>
      </c>
      <c r="I20" s="4" t="str">
        <f aca="false">IF(E20="","no quota",IF(SUMIF(Links!D:D,A20,Links!G:G)=E20,"OK","MISMATCH: "&amp;SUMIF(Links!D:D,A20,Links!G:G)&amp;" of "&amp;E20))</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46"/>
    <col collapsed="false" customWidth="true" hidden="false" outlineLevel="0" max="10" min="10" style="0" width="14"/>
    <col collapsed="false" customWidth="true" hidden="false" outlineLevel="0" max="11" min="11" style="0" width="46"/>
    <col collapsed="false" customWidth="true" hidden="false" outlineLevel="0" max="13" min="13" style="0" width="20"/>
    <col collapsed="false" customWidth="true" hidden="false" outlineLevel="0" max="16" min="16" style="0" width="78"/>
  </cols>
  <sheetData>
    <row r="1" customFormat="false" ht="15" hidden="false" customHeight="false" outlineLevel="0" collapsed="false">
      <c r="A1" s="3" t="s">
        <v>115</v>
      </c>
      <c r="B1" s="3" t="s">
        <v>116</v>
      </c>
      <c r="C1" s="3" t="s">
        <v>47</v>
      </c>
      <c r="D1" s="3" t="s">
        <v>48</v>
      </c>
      <c r="E1" s="3" t="s">
        <v>117</v>
      </c>
      <c r="F1" s="3" t="s">
        <v>118</v>
      </c>
      <c r="G1" s="3" t="s">
        <v>119</v>
      </c>
      <c r="H1" s="3" t="s">
        <v>120</v>
      </c>
      <c r="I1" s="3" t="s">
        <v>121</v>
      </c>
      <c r="J1" s="3" t="s">
        <v>122</v>
      </c>
      <c r="K1" s="3" t="s">
        <v>123</v>
      </c>
      <c r="L1" s="3" t="s">
        <v>124</v>
      </c>
      <c r="M1" s="3" t="s">
        <v>125</v>
      </c>
      <c r="N1" s="3" t="s">
        <v>126</v>
      </c>
      <c r="O1" s="3" t="s">
        <v>127</v>
      </c>
      <c r="P1" s="3" t="s">
        <v>53</v>
      </c>
    </row>
    <row r="2" customFormat="false" ht="23.85" hidden="false" customHeight="false" outlineLevel="0" collapsed="false">
      <c r="A2" s="4" t="s">
        <v>128</v>
      </c>
      <c r="B2" s="4" t="s">
        <v>129</v>
      </c>
      <c r="C2" s="4" t="s">
        <v>56</v>
      </c>
      <c r="D2" s="4" t="s">
        <v>88</v>
      </c>
      <c r="E2" s="4" t="s">
        <v>130</v>
      </c>
      <c r="F2" s="4" t="s">
        <v>131</v>
      </c>
      <c r="G2" s="4" t="s">
        <v>132</v>
      </c>
      <c r="H2" s="4" t="s">
        <v>133</v>
      </c>
      <c r="I2" s="4"/>
      <c r="J2" s="4" t="s">
        <v>134</v>
      </c>
      <c r="K2" s="5" t="s">
        <v>135</v>
      </c>
      <c r="L2" s="4"/>
      <c r="M2" s="4" t="s">
        <v>136</v>
      </c>
      <c r="N2" s="4" t="s">
        <v>137</v>
      </c>
      <c r="O2" s="4" t="s">
        <v>138</v>
      </c>
      <c r="P2" s="5" t="s">
        <v>139</v>
      </c>
    </row>
    <row r="3" customFormat="false" ht="23.85" hidden="false" customHeight="false" outlineLevel="0" collapsed="false">
      <c r="A3" s="4" t="s">
        <v>140</v>
      </c>
      <c r="B3" s="4" t="s">
        <v>141</v>
      </c>
      <c r="C3" s="4" t="s">
        <v>56</v>
      </c>
      <c r="D3" s="4" t="s">
        <v>88</v>
      </c>
      <c r="E3" s="4" t="s">
        <v>130</v>
      </c>
      <c r="F3" s="4" t="s">
        <v>131</v>
      </c>
      <c r="G3" s="4" t="s">
        <v>132</v>
      </c>
      <c r="H3" s="4" t="s">
        <v>133</v>
      </c>
      <c r="I3" s="4"/>
      <c r="J3" s="4" t="s">
        <v>134</v>
      </c>
      <c r="K3" s="5" t="s">
        <v>135</v>
      </c>
      <c r="L3" s="4"/>
      <c r="M3" s="4" t="s">
        <v>136</v>
      </c>
      <c r="N3" s="4" t="s">
        <v>137</v>
      </c>
      <c r="O3" s="4" t="s">
        <v>138</v>
      </c>
      <c r="P3" s="5" t="s">
        <v>139</v>
      </c>
    </row>
    <row r="4" customFormat="false" ht="23.85" hidden="false" customHeight="false" outlineLevel="0" collapsed="false">
      <c r="A4" s="4" t="s">
        <v>142</v>
      </c>
      <c r="B4" s="4" t="s">
        <v>143</v>
      </c>
      <c r="C4" s="4" t="s">
        <v>56</v>
      </c>
      <c r="D4" s="4" t="s">
        <v>88</v>
      </c>
      <c r="E4" s="4" t="s">
        <v>130</v>
      </c>
      <c r="F4" s="4" t="s">
        <v>131</v>
      </c>
      <c r="G4" s="4" t="s">
        <v>132</v>
      </c>
      <c r="H4" s="4" t="s">
        <v>133</v>
      </c>
      <c r="I4" s="4"/>
      <c r="J4" s="4" t="s">
        <v>134</v>
      </c>
      <c r="K4" s="5" t="s">
        <v>135</v>
      </c>
      <c r="L4" s="4"/>
      <c r="M4" s="4" t="s">
        <v>136</v>
      </c>
      <c r="N4" s="4" t="s">
        <v>137</v>
      </c>
      <c r="O4" s="4" t="s">
        <v>138</v>
      </c>
      <c r="P4" s="5" t="s">
        <v>139</v>
      </c>
    </row>
    <row r="5" customFormat="false" ht="23.85" hidden="false" customHeight="false" outlineLevel="0" collapsed="false">
      <c r="A5" s="4" t="s">
        <v>144</v>
      </c>
      <c r="B5" s="4" t="s">
        <v>145</v>
      </c>
      <c r="C5" s="4" t="s">
        <v>56</v>
      </c>
      <c r="D5" s="4" t="s">
        <v>88</v>
      </c>
      <c r="E5" s="4" t="s">
        <v>130</v>
      </c>
      <c r="F5" s="4" t="s">
        <v>131</v>
      </c>
      <c r="G5" s="4" t="s">
        <v>132</v>
      </c>
      <c r="H5" s="4" t="s">
        <v>133</v>
      </c>
      <c r="I5" s="4"/>
      <c r="J5" s="4" t="s">
        <v>134</v>
      </c>
      <c r="K5" s="5" t="s">
        <v>135</v>
      </c>
      <c r="L5" s="4"/>
      <c r="M5" s="4" t="s">
        <v>136</v>
      </c>
      <c r="N5" s="4" t="s">
        <v>146</v>
      </c>
      <c r="O5" s="4" t="s">
        <v>138</v>
      </c>
      <c r="P5" s="5" t="s">
        <v>147</v>
      </c>
    </row>
    <row r="6" customFormat="false" ht="23.85" hidden="false" customHeight="false" outlineLevel="0" collapsed="false">
      <c r="A6" s="4" t="s">
        <v>148</v>
      </c>
      <c r="B6" s="4" t="s">
        <v>149</v>
      </c>
      <c r="C6" s="4" t="s">
        <v>56</v>
      </c>
      <c r="D6" s="4" t="s">
        <v>88</v>
      </c>
      <c r="E6" s="4" t="s">
        <v>130</v>
      </c>
      <c r="F6" s="4" t="s">
        <v>131</v>
      </c>
      <c r="G6" s="4" t="s">
        <v>132</v>
      </c>
      <c r="H6" s="4" t="s">
        <v>133</v>
      </c>
      <c r="I6" s="4"/>
      <c r="J6" s="4" t="s">
        <v>134</v>
      </c>
      <c r="K6" s="5" t="s">
        <v>135</v>
      </c>
      <c r="L6" s="4"/>
      <c r="M6" s="4" t="s">
        <v>136</v>
      </c>
      <c r="N6" s="4" t="s">
        <v>146</v>
      </c>
      <c r="O6" s="4" t="s">
        <v>138</v>
      </c>
      <c r="P6" s="5" t="s">
        <v>147</v>
      </c>
    </row>
    <row r="7" customFormat="false" ht="23.85" hidden="false" customHeight="false" outlineLevel="0" collapsed="false">
      <c r="A7" s="4" t="s">
        <v>150</v>
      </c>
      <c r="B7" s="4" t="s">
        <v>151</v>
      </c>
      <c r="C7" s="4" t="s">
        <v>56</v>
      </c>
      <c r="D7" s="4" t="s">
        <v>88</v>
      </c>
      <c r="E7" s="4" t="s">
        <v>130</v>
      </c>
      <c r="F7" s="4" t="s">
        <v>131</v>
      </c>
      <c r="G7" s="4" t="s">
        <v>132</v>
      </c>
      <c r="H7" s="4" t="s">
        <v>133</v>
      </c>
      <c r="I7" s="4"/>
      <c r="J7" s="4" t="s">
        <v>134</v>
      </c>
      <c r="K7" s="5" t="s">
        <v>135</v>
      </c>
      <c r="L7" s="4"/>
      <c r="M7" s="4" t="s">
        <v>136</v>
      </c>
      <c r="N7" s="4" t="s">
        <v>146</v>
      </c>
      <c r="O7" s="4" t="s">
        <v>138</v>
      </c>
      <c r="P7" s="5" t="s">
        <v>147</v>
      </c>
    </row>
    <row r="8" customFormat="false" ht="23.85" hidden="false" customHeight="false" outlineLevel="0" collapsed="false">
      <c r="A8" s="4" t="s">
        <v>152</v>
      </c>
      <c r="B8" s="4" t="s">
        <v>153</v>
      </c>
      <c r="C8" s="4" t="s">
        <v>56</v>
      </c>
      <c r="D8" s="4" t="s">
        <v>88</v>
      </c>
      <c r="E8" s="4" t="s">
        <v>130</v>
      </c>
      <c r="F8" s="4" t="s">
        <v>131</v>
      </c>
      <c r="G8" s="4" t="s">
        <v>132</v>
      </c>
      <c r="H8" s="4" t="s">
        <v>133</v>
      </c>
      <c r="I8" s="4"/>
      <c r="J8" s="4" t="s">
        <v>134</v>
      </c>
      <c r="K8" s="5" t="s">
        <v>135</v>
      </c>
      <c r="L8" s="4"/>
      <c r="M8" s="4" t="s">
        <v>136</v>
      </c>
      <c r="N8" s="4" t="s">
        <v>146</v>
      </c>
      <c r="O8" s="4" t="s">
        <v>138</v>
      </c>
      <c r="P8" s="5" t="s">
        <v>147</v>
      </c>
    </row>
    <row r="9" customFormat="false" ht="23.85" hidden="false" customHeight="false" outlineLevel="0" collapsed="false">
      <c r="A9" s="4" t="s">
        <v>154</v>
      </c>
      <c r="B9" s="4" t="s">
        <v>155</v>
      </c>
      <c r="C9" s="4" t="s">
        <v>56</v>
      </c>
      <c r="D9" s="4" t="s">
        <v>88</v>
      </c>
      <c r="E9" s="4" t="s">
        <v>130</v>
      </c>
      <c r="F9" s="4" t="s">
        <v>131</v>
      </c>
      <c r="G9" s="4" t="s">
        <v>132</v>
      </c>
      <c r="H9" s="4" t="s">
        <v>133</v>
      </c>
      <c r="I9" s="4"/>
      <c r="J9" s="4" t="s">
        <v>134</v>
      </c>
      <c r="K9" s="5" t="s">
        <v>135</v>
      </c>
      <c r="L9" s="4"/>
      <c r="M9" s="4" t="s">
        <v>136</v>
      </c>
      <c r="N9" s="4" t="s">
        <v>146</v>
      </c>
      <c r="O9" s="4" t="s">
        <v>138</v>
      </c>
      <c r="P9" s="5" t="s">
        <v>147</v>
      </c>
    </row>
    <row r="10" customFormat="false" ht="23.85" hidden="false" customHeight="false" outlineLevel="0" collapsed="false">
      <c r="A10" s="4" t="s">
        <v>156</v>
      </c>
      <c r="B10" s="4" t="s">
        <v>157</v>
      </c>
      <c r="C10" s="4" t="s">
        <v>56</v>
      </c>
      <c r="D10" s="4" t="s">
        <v>88</v>
      </c>
      <c r="E10" s="4" t="s">
        <v>130</v>
      </c>
      <c r="F10" s="4" t="s">
        <v>158</v>
      </c>
      <c r="G10" s="4" t="s">
        <v>159</v>
      </c>
      <c r="H10" s="4" t="s">
        <v>160</v>
      </c>
      <c r="I10" s="4"/>
      <c r="J10" s="4" t="s">
        <v>134</v>
      </c>
      <c r="K10" s="5" t="s">
        <v>161</v>
      </c>
      <c r="L10" s="4"/>
      <c r="M10" s="4" t="s">
        <v>136</v>
      </c>
      <c r="N10" s="4" t="s">
        <v>146</v>
      </c>
      <c r="O10" s="4" t="s">
        <v>138</v>
      </c>
      <c r="P10" s="5" t="s">
        <v>162</v>
      </c>
    </row>
    <row r="11" customFormat="false" ht="23.85" hidden="false" customHeight="false" outlineLevel="0" collapsed="false">
      <c r="A11" s="4" t="s">
        <v>163</v>
      </c>
      <c r="B11" s="4" t="s">
        <v>164</v>
      </c>
      <c r="C11" s="4" t="s">
        <v>56</v>
      </c>
      <c r="D11" s="4" t="s">
        <v>88</v>
      </c>
      <c r="E11" s="4" t="s">
        <v>130</v>
      </c>
      <c r="F11" s="4" t="s">
        <v>158</v>
      </c>
      <c r="G11" s="4" t="s">
        <v>159</v>
      </c>
      <c r="H11" s="4" t="s">
        <v>160</v>
      </c>
      <c r="I11" s="4"/>
      <c r="J11" s="4" t="s">
        <v>134</v>
      </c>
      <c r="K11" s="5" t="s">
        <v>161</v>
      </c>
      <c r="L11" s="4"/>
      <c r="M11" s="4" t="s">
        <v>136</v>
      </c>
      <c r="N11" s="4" t="s">
        <v>146</v>
      </c>
      <c r="O11" s="4" t="s">
        <v>138</v>
      </c>
      <c r="P11" s="5" t="s">
        <v>162</v>
      </c>
    </row>
    <row r="12" customFormat="false" ht="23.85" hidden="false" customHeight="false" outlineLevel="0" collapsed="false">
      <c r="A12" s="4" t="s">
        <v>165</v>
      </c>
      <c r="B12" s="4" t="s">
        <v>166</v>
      </c>
      <c r="C12" s="4" t="s">
        <v>56</v>
      </c>
      <c r="D12" s="4" t="s">
        <v>88</v>
      </c>
      <c r="E12" s="4" t="s">
        <v>130</v>
      </c>
      <c r="F12" s="4" t="s">
        <v>158</v>
      </c>
      <c r="G12" s="4" t="s">
        <v>159</v>
      </c>
      <c r="H12" s="4" t="s">
        <v>160</v>
      </c>
      <c r="I12" s="4"/>
      <c r="J12" s="4" t="s">
        <v>134</v>
      </c>
      <c r="K12" s="5" t="s">
        <v>161</v>
      </c>
      <c r="L12" s="4"/>
      <c r="M12" s="4" t="s">
        <v>136</v>
      </c>
      <c r="N12" s="4" t="s">
        <v>146</v>
      </c>
      <c r="O12" s="4" t="s">
        <v>138</v>
      </c>
      <c r="P12" s="5" t="s">
        <v>162</v>
      </c>
    </row>
    <row r="13" customFormat="false" ht="23.85" hidden="false" customHeight="false" outlineLevel="0" collapsed="false">
      <c r="A13" s="4" t="s">
        <v>167</v>
      </c>
      <c r="B13" s="4" t="s">
        <v>168</v>
      </c>
      <c r="C13" s="4" t="s">
        <v>56</v>
      </c>
      <c r="D13" s="4" t="s">
        <v>88</v>
      </c>
      <c r="E13" s="4" t="s">
        <v>130</v>
      </c>
      <c r="F13" s="4" t="s">
        <v>158</v>
      </c>
      <c r="G13" s="4" t="s">
        <v>159</v>
      </c>
      <c r="H13" s="4" t="s">
        <v>160</v>
      </c>
      <c r="I13" s="4"/>
      <c r="J13" s="4" t="s">
        <v>134</v>
      </c>
      <c r="K13" s="5" t="s">
        <v>161</v>
      </c>
      <c r="L13" s="4"/>
      <c r="M13" s="4" t="s">
        <v>136</v>
      </c>
      <c r="N13" s="4" t="s">
        <v>146</v>
      </c>
      <c r="O13" s="4" t="s">
        <v>138</v>
      </c>
      <c r="P13" s="5" t="s">
        <v>162</v>
      </c>
    </row>
    <row r="14" customFormat="false" ht="46.25" hidden="false" customHeight="false" outlineLevel="0" collapsed="false">
      <c r="A14" s="4" t="s">
        <v>169</v>
      </c>
      <c r="B14" s="4" t="s">
        <v>170</v>
      </c>
      <c r="C14" s="4" t="s">
        <v>92</v>
      </c>
      <c r="D14" s="4" t="s">
        <v>75</v>
      </c>
      <c r="E14" s="4" t="s">
        <v>130</v>
      </c>
      <c r="F14" s="4" t="s">
        <v>171</v>
      </c>
      <c r="G14" s="4" t="s">
        <v>172</v>
      </c>
      <c r="H14" s="4" t="s">
        <v>160</v>
      </c>
      <c r="I14" s="4"/>
      <c r="J14" s="4" t="s">
        <v>173</v>
      </c>
      <c r="K14" s="5" t="s">
        <v>174</v>
      </c>
      <c r="L14" s="4"/>
      <c r="M14" s="4" t="s">
        <v>175</v>
      </c>
      <c r="N14" s="4" t="s">
        <v>176</v>
      </c>
      <c r="O14" s="4" t="s">
        <v>138</v>
      </c>
      <c r="P14" s="5" t="s">
        <v>177</v>
      </c>
    </row>
    <row r="15" customFormat="false" ht="35.05" hidden="false" customHeight="false" outlineLevel="0" collapsed="false">
      <c r="A15" s="4" t="s">
        <v>178</v>
      </c>
      <c r="B15" s="4" t="s">
        <v>179</v>
      </c>
      <c r="C15" s="4" t="s">
        <v>92</v>
      </c>
      <c r="D15" s="4" t="s">
        <v>57</v>
      </c>
      <c r="E15" s="4" t="s">
        <v>130</v>
      </c>
      <c r="F15" s="4"/>
      <c r="G15" s="4"/>
      <c r="H15" s="4" t="s">
        <v>180</v>
      </c>
      <c r="I15" s="4"/>
      <c r="J15" s="4" t="s">
        <v>181</v>
      </c>
      <c r="K15" s="5" t="s">
        <v>182</v>
      </c>
      <c r="L15" s="4"/>
      <c r="M15" s="4" t="s">
        <v>175</v>
      </c>
      <c r="N15" s="4" t="s">
        <v>183</v>
      </c>
      <c r="O15" s="4" t="s">
        <v>138</v>
      </c>
      <c r="P15" s="5" t="s">
        <v>184</v>
      </c>
    </row>
    <row r="16" customFormat="false" ht="35.05" hidden="false" customHeight="false" outlineLevel="0" collapsed="false">
      <c r="A16" s="4" t="s">
        <v>185</v>
      </c>
      <c r="B16" s="4" t="s">
        <v>186</v>
      </c>
      <c r="C16" s="4" t="s">
        <v>92</v>
      </c>
      <c r="D16" s="4" t="s">
        <v>75</v>
      </c>
      <c r="E16" s="4" t="s">
        <v>130</v>
      </c>
      <c r="F16" s="4"/>
      <c r="G16" s="4"/>
      <c r="H16" s="4" t="s">
        <v>180</v>
      </c>
      <c r="I16" s="4"/>
      <c r="J16" s="4" t="s">
        <v>181</v>
      </c>
      <c r="K16" s="5" t="s">
        <v>182</v>
      </c>
      <c r="L16" s="4"/>
      <c r="M16" s="4" t="s">
        <v>175</v>
      </c>
      <c r="N16" s="4" t="s">
        <v>187</v>
      </c>
      <c r="O16" s="4" t="s">
        <v>138</v>
      </c>
      <c r="P16" s="5" t="s">
        <v>188</v>
      </c>
    </row>
    <row r="17" customFormat="false" ht="35.05" hidden="false" customHeight="false" outlineLevel="0" collapsed="false">
      <c r="A17" s="4" t="s">
        <v>189</v>
      </c>
      <c r="B17" s="4" t="s">
        <v>190</v>
      </c>
      <c r="C17" s="4" t="s">
        <v>92</v>
      </c>
      <c r="D17" s="4" t="s">
        <v>57</v>
      </c>
      <c r="E17" s="4" t="s">
        <v>130</v>
      </c>
      <c r="F17" s="4"/>
      <c r="G17" s="4"/>
      <c r="H17" s="4" t="s">
        <v>180</v>
      </c>
      <c r="I17" s="4"/>
      <c r="J17" s="4" t="s">
        <v>191</v>
      </c>
      <c r="K17" s="5" t="s">
        <v>192</v>
      </c>
      <c r="L17" s="4"/>
      <c r="M17" s="4" t="s">
        <v>175</v>
      </c>
      <c r="N17" s="4" t="s">
        <v>193</v>
      </c>
      <c r="O17" s="4" t="s">
        <v>138</v>
      </c>
      <c r="P17" s="5" t="s">
        <v>194</v>
      </c>
    </row>
    <row r="18" customFormat="false" ht="46.25" hidden="false" customHeight="false" outlineLevel="0" collapsed="false">
      <c r="A18" s="4" t="s">
        <v>195</v>
      </c>
      <c r="B18" s="4" t="s">
        <v>196</v>
      </c>
      <c r="C18" s="4" t="s">
        <v>92</v>
      </c>
      <c r="D18" s="4" t="s">
        <v>75</v>
      </c>
      <c r="E18" s="4" t="s">
        <v>130</v>
      </c>
      <c r="F18" s="4"/>
      <c r="G18" s="4"/>
      <c r="H18" s="4" t="s">
        <v>180</v>
      </c>
      <c r="I18" s="4"/>
      <c r="J18" s="4" t="s">
        <v>191</v>
      </c>
      <c r="K18" s="5" t="s">
        <v>192</v>
      </c>
      <c r="L18" s="4"/>
      <c r="M18" s="4" t="s">
        <v>175</v>
      </c>
      <c r="N18" s="4" t="s">
        <v>197</v>
      </c>
      <c r="O18" s="4" t="s">
        <v>138</v>
      </c>
      <c r="P18" s="5" t="s">
        <v>198</v>
      </c>
    </row>
    <row r="19" customFormat="false" ht="35.05" hidden="false" customHeight="false" outlineLevel="0" collapsed="false">
      <c r="A19" s="4" t="s">
        <v>199</v>
      </c>
      <c r="B19" s="4" t="s">
        <v>200</v>
      </c>
      <c r="C19" s="4" t="s">
        <v>99</v>
      </c>
      <c r="D19" s="4" t="s">
        <v>57</v>
      </c>
      <c r="E19" s="4" t="s">
        <v>201</v>
      </c>
      <c r="F19" s="4" t="s">
        <v>202</v>
      </c>
      <c r="G19" s="4" t="s">
        <v>203</v>
      </c>
      <c r="H19" s="4" t="s">
        <v>133</v>
      </c>
      <c r="I19" s="4" t="s">
        <v>204</v>
      </c>
      <c r="J19" s="4" t="s">
        <v>134</v>
      </c>
      <c r="K19" s="5" t="s">
        <v>205</v>
      </c>
      <c r="L19" s="4"/>
      <c r="M19" s="4" t="s">
        <v>206</v>
      </c>
      <c r="N19" s="4" t="s">
        <v>101</v>
      </c>
      <c r="O19" s="4" t="s">
        <v>207</v>
      </c>
      <c r="P19" s="5" t="s">
        <v>208</v>
      </c>
    </row>
    <row r="20" customFormat="false" ht="57.45" hidden="false" customHeight="false" outlineLevel="0" collapsed="false">
      <c r="A20" s="4" t="s">
        <v>209</v>
      </c>
      <c r="B20" s="4" t="s">
        <v>210</v>
      </c>
      <c r="C20" s="4" t="s">
        <v>99</v>
      </c>
      <c r="D20" s="4" t="s">
        <v>57</v>
      </c>
      <c r="E20" s="4" t="s">
        <v>201</v>
      </c>
      <c r="F20" s="4" t="s">
        <v>211</v>
      </c>
      <c r="G20" s="4" t="s">
        <v>212</v>
      </c>
      <c r="H20" s="4" t="s">
        <v>160</v>
      </c>
      <c r="I20" s="4" t="s">
        <v>213</v>
      </c>
      <c r="J20" s="4" t="s">
        <v>214</v>
      </c>
      <c r="K20" s="5" t="s">
        <v>215</v>
      </c>
      <c r="L20" s="4"/>
      <c r="M20" s="4" t="s">
        <v>206</v>
      </c>
      <c r="N20" s="4" t="s">
        <v>101</v>
      </c>
      <c r="O20" s="4" t="s">
        <v>216</v>
      </c>
      <c r="P20" s="5" t="s">
        <v>217</v>
      </c>
    </row>
    <row r="21" customFormat="false" ht="23.85" hidden="false" customHeight="false" outlineLevel="0" collapsed="false">
      <c r="A21" s="4" t="s">
        <v>218</v>
      </c>
      <c r="B21" s="4" t="s">
        <v>219</v>
      </c>
      <c r="C21" s="4" t="s">
        <v>99</v>
      </c>
      <c r="D21" s="4" t="s">
        <v>57</v>
      </c>
      <c r="E21" s="4" t="s">
        <v>220</v>
      </c>
      <c r="F21" s="4"/>
      <c r="G21" s="4"/>
      <c r="H21" s="4" t="s">
        <v>180</v>
      </c>
      <c r="I21" s="4"/>
      <c r="J21" s="4" t="s">
        <v>173</v>
      </c>
      <c r="K21" s="6"/>
      <c r="L21" s="4"/>
      <c r="M21" s="4" t="s">
        <v>206</v>
      </c>
      <c r="N21" s="4" t="s">
        <v>101</v>
      </c>
      <c r="O21" s="4" t="s">
        <v>221</v>
      </c>
      <c r="P21" s="5" t="s">
        <v>222</v>
      </c>
    </row>
    <row r="22" customFormat="false" ht="23.85" hidden="false" customHeight="false" outlineLevel="0" collapsed="false">
      <c r="A22" s="4" t="s">
        <v>223</v>
      </c>
      <c r="B22" s="4" t="s">
        <v>224</v>
      </c>
      <c r="C22" s="4" t="s">
        <v>99</v>
      </c>
      <c r="D22" s="4" t="s">
        <v>57</v>
      </c>
      <c r="E22" s="4" t="s">
        <v>225</v>
      </c>
      <c r="F22" s="4"/>
      <c r="G22" s="4"/>
      <c r="H22" s="4" t="s">
        <v>180</v>
      </c>
      <c r="I22" s="4"/>
      <c r="J22" s="4" t="s">
        <v>181</v>
      </c>
      <c r="K22" s="6"/>
      <c r="L22" s="4"/>
      <c r="M22" s="4" t="s">
        <v>206</v>
      </c>
      <c r="N22" s="4" t="s">
        <v>101</v>
      </c>
      <c r="O22" s="4" t="s">
        <v>216</v>
      </c>
      <c r="P22" s="5" t="s">
        <v>226</v>
      </c>
    </row>
    <row r="23" customFormat="false" ht="15" hidden="false" customHeight="false" outlineLevel="0" collapsed="false">
      <c r="A23" s="4" t="s">
        <v>227</v>
      </c>
      <c r="B23" s="4" t="s">
        <v>228</v>
      </c>
      <c r="C23" s="4" t="s">
        <v>99</v>
      </c>
      <c r="D23" s="4" t="s">
        <v>57</v>
      </c>
      <c r="E23" s="4" t="s">
        <v>229</v>
      </c>
      <c r="F23" s="4"/>
      <c r="G23" s="4"/>
      <c r="H23" s="4" t="s">
        <v>180</v>
      </c>
      <c r="I23" s="4"/>
      <c r="J23" s="4" t="s">
        <v>181</v>
      </c>
      <c r="K23" s="6"/>
      <c r="L23" s="4"/>
      <c r="M23" s="4" t="s">
        <v>206</v>
      </c>
      <c r="N23" s="4" t="s">
        <v>101</v>
      </c>
      <c r="O23" s="4" t="s">
        <v>216</v>
      </c>
      <c r="P23" s="5" t="s">
        <v>230</v>
      </c>
    </row>
    <row r="24" customFormat="false" ht="23.85" hidden="false" customHeight="false" outlineLevel="0" collapsed="false">
      <c r="A24" s="4" t="s">
        <v>231</v>
      </c>
      <c r="B24" s="4" t="s">
        <v>232</v>
      </c>
      <c r="C24" s="4" t="s">
        <v>99</v>
      </c>
      <c r="D24" s="4" t="s">
        <v>57</v>
      </c>
      <c r="E24" s="4" t="s">
        <v>233</v>
      </c>
      <c r="F24" s="4"/>
      <c r="G24" s="4"/>
      <c r="H24" s="4" t="s">
        <v>180</v>
      </c>
      <c r="I24" s="4"/>
      <c r="J24" s="4" t="s">
        <v>181</v>
      </c>
      <c r="K24" s="6"/>
      <c r="L24" s="4"/>
      <c r="M24" s="4" t="s">
        <v>206</v>
      </c>
      <c r="N24" s="4" t="s">
        <v>101</v>
      </c>
      <c r="O24" s="4" t="s">
        <v>216</v>
      </c>
      <c r="P24" s="5" t="s">
        <v>234</v>
      </c>
    </row>
    <row r="25" customFormat="false" ht="15" hidden="false" customHeight="false" outlineLevel="0" collapsed="false">
      <c r="A25" s="4" t="s">
        <v>235</v>
      </c>
      <c r="B25" s="4" t="s">
        <v>236</v>
      </c>
      <c r="C25" s="4" t="s">
        <v>99</v>
      </c>
      <c r="D25" s="4" t="s">
        <v>57</v>
      </c>
      <c r="E25" s="4" t="s">
        <v>237</v>
      </c>
      <c r="F25" s="4"/>
      <c r="G25" s="4"/>
      <c r="H25" s="4" t="s">
        <v>180</v>
      </c>
      <c r="I25" s="4"/>
      <c r="J25" s="4" t="s">
        <v>181</v>
      </c>
      <c r="K25" s="6"/>
      <c r="L25" s="4"/>
      <c r="M25" s="4" t="s">
        <v>206</v>
      </c>
      <c r="N25" s="4" t="s">
        <v>101</v>
      </c>
      <c r="O25" s="4" t="s">
        <v>216</v>
      </c>
      <c r="P25" s="5" t="s">
        <v>238</v>
      </c>
    </row>
    <row r="26" customFormat="false" ht="57.45" hidden="false" customHeight="false" outlineLevel="0" collapsed="false">
      <c r="A26" s="4" t="s">
        <v>239</v>
      </c>
      <c r="B26" s="4" t="s">
        <v>240</v>
      </c>
      <c r="C26" s="4" t="s">
        <v>99</v>
      </c>
      <c r="D26" s="4" t="s">
        <v>75</v>
      </c>
      <c r="E26" s="4" t="s">
        <v>225</v>
      </c>
      <c r="F26" s="4" t="s">
        <v>241</v>
      </c>
      <c r="G26" s="4" t="s">
        <v>242</v>
      </c>
      <c r="H26" s="4" t="s">
        <v>133</v>
      </c>
      <c r="I26" s="4" t="s">
        <v>243</v>
      </c>
      <c r="J26" s="4" t="s">
        <v>134</v>
      </c>
      <c r="K26" s="5" t="s">
        <v>244</v>
      </c>
      <c r="L26" s="4"/>
      <c r="M26" s="4" t="s">
        <v>206</v>
      </c>
      <c r="N26" s="4" t="s">
        <v>105</v>
      </c>
      <c r="O26" s="4" t="s">
        <v>207</v>
      </c>
      <c r="P26" s="5" t="s">
        <v>245</v>
      </c>
    </row>
    <row r="27" customFormat="false" ht="35.05" hidden="false" customHeight="false" outlineLevel="0" collapsed="false">
      <c r="A27" s="4" t="s">
        <v>246</v>
      </c>
      <c r="B27" s="4" t="s">
        <v>247</v>
      </c>
      <c r="C27" s="4" t="s">
        <v>99</v>
      </c>
      <c r="D27" s="4" t="s">
        <v>75</v>
      </c>
      <c r="E27" s="4" t="s">
        <v>225</v>
      </c>
      <c r="F27" s="4"/>
      <c r="G27" s="4"/>
      <c r="H27" s="4" t="s">
        <v>180</v>
      </c>
      <c r="I27" s="4"/>
      <c r="J27" s="4" t="s">
        <v>173</v>
      </c>
      <c r="K27" s="6"/>
      <c r="L27" s="4"/>
      <c r="M27" s="4" t="s">
        <v>206</v>
      </c>
      <c r="N27" s="4" t="s">
        <v>105</v>
      </c>
      <c r="O27" s="4" t="s">
        <v>221</v>
      </c>
      <c r="P27" s="5" t="s">
        <v>248</v>
      </c>
    </row>
    <row r="28" customFormat="false" ht="23.85" hidden="false" customHeight="false" outlineLevel="0" collapsed="false">
      <c r="A28" s="4" t="s">
        <v>249</v>
      </c>
      <c r="B28" s="4" t="s">
        <v>250</v>
      </c>
      <c r="C28" s="4" t="s">
        <v>99</v>
      </c>
      <c r="D28" s="4" t="s">
        <v>75</v>
      </c>
      <c r="E28" s="4" t="s">
        <v>229</v>
      </c>
      <c r="F28" s="4" t="s">
        <v>251</v>
      </c>
      <c r="G28" s="4" t="s">
        <v>252</v>
      </c>
      <c r="H28" s="4" t="s">
        <v>160</v>
      </c>
      <c r="I28" s="4" t="s">
        <v>243</v>
      </c>
      <c r="J28" s="4" t="s">
        <v>173</v>
      </c>
      <c r="K28" s="5" t="s">
        <v>253</v>
      </c>
      <c r="L28" s="4"/>
      <c r="M28" s="4" t="s">
        <v>206</v>
      </c>
      <c r="N28" s="4" t="s">
        <v>105</v>
      </c>
      <c r="O28" s="4" t="s">
        <v>216</v>
      </c>
      <c r="P28" s="5" t="s">
        <v>254</v>
      </c>
    </row>
    <row r="29" customFormat="false" ht="35.05" hidden="false" customHeight="false" outlineLevel="0" collapsed="false">
      <c r="A29" s="4" t="s">
        <v>255</v>
      </c>
      <c r="B29" s="4" t="s">
        <v>256</v>
      </c>
      <c r="C29" s="4" t="s">
        <v>99</v>
      </c>
      <c r="D29" s="4" t="s">
        <v>75</v>
      </c>
      <c r="E29" s="4" t="s">
        <v>229</v>
      </c>
      <c r="F29" s="4" t="s">
        <v>257</v>
      </c>
      <c r="G29" s="4" t="s">
        <v>258</v>
      </c>
      <c r="H29" s="4" t="s">
        <v>160</v>
      </c>
      <c r="I29" s="4" t="s">
        <v>243</v>
      </c>
      <c r="J29" s="4" t="s">
        <v>134</v>
      </c>
      <c r="K29" s="5" t="s">
        <v>259</v>
      </c>
      <c r="L29" s="4"/>
      <c r="M29" s="4" t="s">
        <v>206</v>
      </c>
      <c r="N29" s="4" t="s">
        <v>105</v>
      </c>
      <c r="O29" s="4" t="s">
        <v>216</v>
      </c>
      <c r="P29" s="5" t="s">
        <v>260</v>
      </c>
    </row>
    <row r="30" customFormat="false" ht="23.85" hidden="false" customHeight="false" outlineLevel="0" collapsed="false">
      <c r="A30" s="4" t="s">
        <v>261</v>
      </c>
      <c r="B30" s="4" t="s">
        <v>262</v>
      </c>
      <c r="C30" s="4" t="s">
        <v>99</v>
      </c>
      <c r="D30" s="4" t="s">
        <v>75</v>
      </c>
      <c r="E30" s="4" t="s">
        <v>229</v>
      </c>
      <c r="F30" s="4" t="s">
        <v>263</v>
      </c>
      <c r="G30" s="4" t="s">
        <v>264</v>
      </c>
      <c r="H30" s="4" t="s">
        <v>160</v>
      </c>
      <c r="I30" s="4" t="s">
        <v>243</v>
      </c>
      <c r="J30" s="4" t="s">
        <v>134</v>
      </c>
      <c r="K30" s="5" t="s">
        <v>265</v>
      </c>
      <c r="L30" s="4"/>
      <c r="M30" s="4" t="s">
        <v>206</v>
      </c>
      <c r="N30" s="4" t="s">
        <v>105</v>
      </c>
      <c r="O30" s="4" t="s">
        <v>216</v>
      </c>
      <c r="P30" s="5" t="s">
        <v>266</v>
      </c>
    </row>
    <row r="31" customFormat="false" ht="15" hidden="false" customHeight="false" outlineLevel="0" collapsed="false">
      <c r="A31" s="4" t="s">
        <v>267</v>
      </c>
      <c r="B31" s="4" t="s">
        <v>268</v>
      </c>
      <c r="C31" s="4" t="s">
        <v>99</v>
      </c>
      <c r="D31" s="4" t="s">
        <v>75</v>
      </c>
      <c r="E31" s="4" t="s">
        <v>229</v>
      </c>
      <c r="F31" s="4" t="s">
        <v>269</v>
      </c>
      <c r="G31" s="4" t="s">
        <v>270</v>
      </c>
      <c r="H31" s="4" t="s">
        <v>160</v>
      </c>
      <c r="I31" s="4" t="s">
        <v>243</v>
      </c>
      <c r="J31" s="4" t="s">
        <v>134</v>
      </c>
      <c r="K31" s="5" t="s">
        <v>271</v>
      </c>
      <c r="L31" s="4"/>
      <c r="M31" s="4" t="s">
        <v>206</v>
      </c>
      <c r="N31" s="4" t="s">
        <v>105</v>
      </c>
      <c r="O31" s="4" t="s">
        <v>216</v>
      </c>
      <c r="P31" s="5" t="s">
        <v>272</v>
      </c>
    </row>
    <row r="32" customFormat="false" ht="23.85" hidden="false" customHeight="false" outlineLevel="0" collapsed="false">
      <c r="A32" s="4" t="s">
        <v>273</v>
      </c>
      <c r="B32" s="4" t="s">
        <v>274</v>
      </c>
      <c r="C32" s="4" t="s">
        <v>99</v>
      </c>
      <c r="D32" s="4" t="s">
        <v>75</v>
      </c>
      <c r="E32" s="4" t="s">
        <v>229</v>
      </c>
      <c r="F32" s="4" t="s">
        <v>275</v>
      </c>
      <c r="G32" s="4" t="s">
        <v>242</v>
      </c>
      <c r="H32" s="4" t="s">
        <v>160</v>
      </c>
      <c r="I32" s="4" t="s">
        <v>243</v>
      </c>
      <c r="J32" s="4" t="s">
        <v>134</v>
      </c>
      <c r="K32" s="5" t="s">
        <v>276</v>
      </c>
      <c r="L32" s="4"/>
      <c r="M32" s="4" t="s">
        <v>206</v>
      </c>
      <c r="N32" s="4" t="s">
        <v>105</v>
      </c>
      <c r="O32" s="4" t="s">
        <v>216</v>
      </c>
      <c r="P32" s="5" t="s">
        <v>277</v>
      </c>
    </row>
    <row r="33" customFormat="false" ht="46.25" hidden="false" customHeight="false" outlineLevel="0" collapsed="false">
      <c r="A33" s="4" t="s">
        <v>278</v>
      </c>
      <c r="B33" s="4" t="s">
        <v>279</v>
      </c>
      <c r="C33" s="4" t="s">
        <v>99</v>
      </c>
      <c r="D33" s="4" t="s">
        <v>75</v>
      </c>
      <c r="E33" s="4" t="s">
        <v>220</v>
      </c>
      <c r="F33" s="4" t="s">
        <v>280</v>
      </c>
      <c r="G33" s="4" t="s">
        <v>281</v>
      </c>
      <c r="H33" s="4" t="s">
        <v>160</v>
      </c>
      <c r="I33" s="4" t="s">
        <v>282</v>
      </c>
      <c r="J33" s="4" t="s">
        <v>134</v>
      </c>
      <c r="K33" s="5" t="s">
        <v>283</v>
      </c>
      <c r="L33" s="4"/>
      <c r="M33" s="4" t="s">
        <v>206</v>
      </c>
      <c r="N33" s="4" t="s">
        <v>105</v>
      </c>
      <c r="O33" s="4" t="s">
        <v>216</v>
      </c>
      <c r="P33" s="5" t="s">
        <v>284</v>
      </c>
    </row>
    <row r="34" customFormat="false" ht="35.05" hidden="false" customHeight="false" outlineLevel="0" collapsed="false">
      <c r="A34" s="4" t="s">
        <v>285</v>
      </c>
      <c r="B34" s="4" t="s">
        <v>286</v>
      </c>
      <c r="C34" s="4" t="s">
        <v>99</v>
      </c>
      <c r="D34" s="4" t="s">
        <v>75</v>
      </c>
      <c r="E34" s="4" t="s">
        <v>233</v>
      </c>
      <c r="F34" s="4" t="s">
        <v>287</v>
      </c>
      <c r="G34" s="4" t="s">
        <v>288</v>
      </c>
      <c r="H34" s="4" t="s">
        <v>160</v>
      </c>
      <c r="I34" s="4" t="s">
        <v>289</v>
      </c>
      <c r="J34" s="4" t="s">
        <v>173</v>
      </c>
      <c r="K34" s="5" t="s">
        <v>290</v>
      </c>
      <c r="L34" s="4"/>
      <c r="M34" s="4" t="s">
        <v>206</v>
      </c>
      <c r="N34" s="4" t="s">
        <v>105</v>
      </c>
      <c r="O34" s="4" t="s">
        <v>216</v>
      </c>
      <c r="P34" s="5" t="s">
        <v>291</v>
      </c>
    </row>
    <row r="35" customFormat="false" ht="15" hidden="false" customHeight="false" outlineLevel="0" collapsed="false">
      <c r="A35" s="4" t="s">
        <v>292</v>
      </c>
      <c r="B35" s="4" t="s">
        <v>293</v>
      </c>
      <c r="C35" s="4" t="s">
        <v>99</v>
      </c>
      <c r="D35" s="4" t="s">
        <v>75</v>
      </c>
      <c r="E35" s="4" t="s">
        <v>237</v>
      </c>
      <c r="F35" s="4"/>
      <c r="G35" s="4"/>
      <c r="H35" s="4" t="s">
        <v>180</v>
      </c>
      <c r="I35" s="4"/>
      <c r="J35" s="4" t="s">
        <v>181</v>
      </c>
      <c r="K35" s="6"/>
      <c r="L35" s="4"/>
      <c r="M35" s="4" t="s">
        <v>206</v>
      </c>
      <c r="N35" s="4" t="s">
        <v>105</v>
      </c>
      <c r="O35" s="4" t="s">
        <v>216</v>
      </c>
      <c r="P35" s="5" t="s">
        <v>294</v>
      </c>
    </row>
    <row r="36" customFormat="false" ht="46.25" hidden="false" customHeight="false" outlineLevel="0" collapsed="false">
      <c r="A36" s="4" t="s">
        <v>295</v>
      </c>
      <c r="B36" s="4" t="s">
        <v>296</v>
      </c>
      <c r="C36" s="4" t="s">
        <v>99</v>
      </c>
      <c r="D36" s="4" t="s">
        <v>75</v>
      </c>
      <c r="E36" s="4" t="s">
        <v>201</v>
      </c>
      <c r="F36" s="4" t="s">
        <v>297</v>
      </c>
      <c r="G36" s="4" t="s">
        <v>298</v>
      </c>
      <c r="H36" s="4" t="s">
        <v>133</v>
      </c>
      <c r="I36" s="4" t="s">
        <v>213</v>
      </c>
      <c r="J36" s="4" t="s">
        <v>134</v>
      </c>
      <c r="K36" s="6"/>
      <c r="L36" s="4"/>
      <c r="M36" s="4" t="s">
        <v>206</v>
      </c>
      <c r="N36" s="4" t="s">
        <v>105</v>
      </c>
      <c r="O36" s="4" t="s">
        <v>299</v>
      </c>
      <c r="P36" s="5" t="s">
        <v>300</v>
      </c>
    </row>
    <row r="37" customFormat="false" ht="46.25" hidden="false" customHeight="false" outlineLevel="0" collapsed="false">
      <c r="A37" s="4" t="s">
        <v>301</v>
      </c>
      <c r="B37" s="4" t="s">
        <v>302</v>
      </c>
      <c r="C37" s="4" t="s">
        <v>99</v>
      </c>
      <c r="D37" s="4" t="s">
        <v>75</v>
      </c>
      <c r="E37" s="4" t="s">
        <v>201</v>
      </c>
      <c r="F37" s="4" t="s">
        <v>303</v>
      </c>
      <c r="G37" s="4" t="s">
        <v>281</v>
      </c>
      <c r="H37" s="4" t="s">
        <v>160</v>
      </c>
      <c r="I37" s="4" t="s">
        <v>213</v>
      </c>
      <c r="J37" s="4" t="s">
        <v>214</v>
      </c>
      <c r="K37" s="6"/>
      <c r="L37" s="4"/>
      <c r="M37" s="4" t="s">
        <v>206</v>
      </c>
      <c r="N37" s="4" t="s">
        <v>105</v>
      </c>
      <c r="O37" s="4" t="s">
        <v>216</v>
      </c>
      <c r="P37" s="5" t="s">
        <v>304</v>
      </c>
    </row>
    <row r="38" customFormat="false" ht="23.85" hidden="false" customHeight="false" outlineLevel="0" collapsed="false">
      <c r="A38" s="4" t="s">
        <v>305</v>
      </c>
      <c r="B38" s="4" t="s">
        <v>306</v>
      </c>
      <c r="C38" s="4" t="s">
        <v>99</v>
      </c>
      <c r="D38" s="4" t="s">
        <v>75</v>
      </c>
      <c r="E38" s="4" t="s">
        <v>130</v>
      </c>
      <c r="F38" s="4"/>
      <c r="G38" s="4"/>
      <c r="H38" s="4" t="s">
        <v>180</v>
      </c>
      <c r="I38" s="4"/>
      <c r="J38" s="4" t="s">
        <v>181</v>
      </c>
      <c r="K38" s="5" t="s">
        <v>307</v>
      </c>
      <c r="L38" s="4"/>
      <c r="M38" s="4" t="s">
        <v>206</v>
      </c>
      <c r="N38" s="4" t="s">
        <v>105</v>
      </c>
      <c r="O38" s="4" t="s">
        <v>216</v>
      </c>
      <c r="P38" s="5" t="s">
        <v>308</v>
      </c>
    </row>
    <row r="39" customFormat="false" ht="23.85" hidden="false" customHeight="false" outlineLevel="0" collapsed="false">
      <c r="A39" s="4" t="s">
        <v>309</v>
      </c>
      <c r="B39" s="4" t="s">
        <v>310</v>
      </c>
      <c r="C39" s="4" t="s">
        <v>108</v>
      </c>
      <c r="D39" s="4" t="s">
        <v>75</v>
      </c>
      <c r="E39" s="4" t="s">
        <v>311</v>
      </c>
      <c r="F39" s="4" t="s">
        <v>312</v>
      </c>
      <c r="G39" s="4" t="s">
        <v>313</v>
      </c>
      <c r="H39" s="4" t="s">
        <v>133</v>
      </c>
      <c r="I39" s="4"/>
      <c r="J39" s="4" t="s">
        <v>134</v>
      </c>
      <c r="K39" s="5" t="s">
        <v>314</v>
      </c>
      <c r="L39" s="4"/>
      <c r="M39" s="4" t="s">
        <v>315</v>
      </c>
      <c r="N39" s="4" t="s">
        <v>316</v>
      </c>
      <c r="O39" s="4" t="s">
        <v>138</v>
      </c>
      <c r="P39" s="5" t="s">
        <v>317</v>
      </c>
    </row>
    <row r="40" customFormat="false" ht="35.05" hidden="false" customHeight="false" outlineLevel="0" collapsed="false">
      <c r="A40" s="4" t="s">
        <v>318</v>
      </c>
      <c r="B40" s="4" t="s">
        <v>319</v>
      </c>
      <c r="C40" s="4" t="s">
        <v>108</v>
      </c>
      <c r="D40" s="4" t="s">
        <v>75</v>
      </c>
      <c r="E40" s="4" t="s">
        <v>130</v>
      </c>
      <c r="F40" s="4"/>
      <c r="G40" s="4"/>
      <c r="H40" s="4" t="s">
        <v>180</v>
      </c>
      <c r="I40" s="4"/>
      <c r="J40" s="4" t="s">
        <v>173</v>
      </c>
      <c r="K40" s="6"/>
      <c r="L40" s="4"/>
      <c r="M40" s="4" t="s">
        <v>315</v>
      </c>
      <c r="N40" s="4" t="s">
        <v>316</v>
      </c>
      <c r="O40" s="4" t="s">
        <v>221</v>
      </c>
      <c r="P40" s="5" t="s">
        <v>320</v>
      </c>
    </row>
    <row r="41" customFormat="false" ht="15" hidden="false" customHeight="false" outlineLevel="0" collapsed="false">
      <c r="A41" s="7" t="s">
        <v>321</v>
      </c>
      <c r="B41" s="7" t="s">
        <v>322</v>
      </c>
      <c r="C41" s="7" t="s">
        <v>323</v>
      </c>
      <c r="D41" s="7"/>
      <c r="E41" s="7"/>
      <c r="F41" s="8" t="n">
        <v>46233.1666666667</v>
      </c>
      <c r="G41" s="8" t="n">
        <v>46235.2916666667</v>
      </c>
      <c r="H41" s="7"/>
      <c r="I41" s="7"/>
      <c r="J41" s="7"/>
      <c r="K41" s="9" t="s">
        <v>324</v>
      </c>
      <c r="L41" s="7"/>
      <c r="M41" s="7"/>
      <c r="N41" s="7"/>
      <c r="O41" s="7"/>
      <c r="P41" s="9" t="s">
        <v>325</v>
      </c>
    </row>
    <row r="42" customFormat="false" ht="15" hidden="false" customHeight="false" outlineLevel="0" collapsed="false">
      <c r="A42" s="7" t="s">
        <v>326</v>
      </c>
      <c r="B42" s="7" t="s">
        <v>327</v>
      </c>
      <c r="C42" s="7" t="s">
        <v>323</v>
      </c>
      <c r="D42" s="7"/>
      <c r="E42" s="7"/>
      <c r="F42" s="8" t="n">
        <v>46233.1875</v>
      </c>
      <c r="G42" s="8" t="n">
        <v>46234.5208333333</v>
      </c>
      <c r="H42" s="7"/>
      <c r="I42" s="7"/>
      <c r="J42" s="7"/>
      <c r="K42" s="9" t="s">
        <v>328</v>
      </c>
      <c r="L42" s="7"/>
      <c r="M42" s="7"/>
      <c r="N42" s="7"/>
      <c r="O42" s="7"/>
      <c r="P42" s="9" t="s">
        <v>325</v>
      </c>
    </row>
    <row r="43" customFormat="false" ht="15" hidden="false" customHeight="false" outlineLevel="0" collapsed="false">
      <c r="A43" s="7" t="s">
        <v>329</v>
      </c>
      <c r="B43" s="7" t="s">
        <v>330</v>
      </c>
      <c r="C43" s="7" t="s">
        <v>331</v>
      </c>
      <c r="D43" s="7"/>
      <c r="E43" s="7"/>
      <c r="F43" s="8" t="n">
        <v>46234.4166666667</v>
      </c>
      <c r="G43" s="8" t="n">
        <v>46234.6666666667</v>
      </c>
      <c r="H43" s="7"/>
      <c r="I43" s="7"/>
      <c r="J43" s="7"/>
      <c r="K43" s="9" t="s">
        <v>332</v>
      </c>
      <c r="L43" s="7"/>
      <c r="M43" s="7"/>
      <c r="N43" s="7"/>
      <c r="O43" s="7"/>
      <c r="P43" s="9" t="s">
        <v>333</v>
      </c>
    </row>
    <row r="44" customFormat="false" ht="15" hidden="false" customHeight="false" outlineLevel="0" collapsed="false">
      <c r="A44" s="7" t="s">
        <v>334</v>
      </c>
      <c r="B44" s="7" t="s">
        <v>335</v>
      </c>
      <c r="C44" s="7" t="s">
        <v>331</v>
      </c>
      <c r="D44" s="7"/>
      <c r="E44" s="7"/>
      <c r="F44" s="8" t="n">
        <v>46233.4166666667</v>
      </c>
      <c r="G44" s="8" t="n">
        <v>46235.6145833333</v>
      </c>
      <c r="H44" s="7"/>
      <c r="I44" s="7"/>
      <c r="J44" s="7"/>
      <c r="K44" s="9" t="s">
        <v>332</v>
      </c>
      <c r="L44" s="7"/>
      <c r="M44" s="7"/>
      <c r="N44" s="7"/>
      <c r="O44" s="7"/>
      <c r="P44" s="9" t="s">
        <v>333</v>
      </c>
    </row>
    <row r="45" customFormat="false" ht="15" hidden="false" customHeight="false" outlineLevel="0" collapsed="false">
      <c r="A45" s="4" t="s">
        <v>336</v>
      </c>
      <c r="B45" s="4" t="s">
        <v>337</v>
      </c>
      <c r="C45" s="4" t="s">
        <v>99</v>
      </c>
      <c r="D45" s="4" t="s">
        <v>57</v>
      </c>
      <c r="E45" s="4" t="s">
        <v>220</v>
      </c>
      <c r="F45" s="4" t="s">
        <v>338</v>
      </c>
      <c r="G45" s="4" t="s">
        <v>339</v>
      </c>
      <c r="H45" s="4"/>
      <c r="I45" s="4"/>
      <c r="J45" s="4" t="s">
        <v>214</v>
      </c>
      <c r="K45" s="5" t="s">
        <v>340</v>
      </c>
      <c r="L45" s="4"/>
      <c r="M45" s="4"/>
      <c r="N45" s="4"/>
      <c r="O45" s="4"/>
      <c r="P45" s="5" t="s">
        <v>341</v>
      </c>
    </row>
    <row r="46" customFormat="false" ht="15" hidden="false" customHeight="false" outlineLevel="0" collapsed="false">
      <c r="A46" s="7" t="s">
        <v>342</v>
      </c>
      <c r="B46" s="7" t="s">
        <v>343</v>
      </c>
      <c r="C46" s="7" t="s">
        <v>344</v>
      </c>
      <c r="D46" s="7"/>
      <c r="E46" s="7"/>
      <c r="F46" s="8" t="n">
        <v>46234.8958333333</v>
      </c>
      <c r="G46" s="8" t="n">
        <v>46235.2604166667</v>
      </c>
      <c r="H46" s="7"/>
      <c r="I46" s="7"/>
      <c r="J46" s="7"/>
      <c r="K46" s="9" t="s">
        <v>345</v>
      </c>
      <c r="L46" s="7"/>
      <c r="M46" s="7"/>
      <c r="N46" s="7"/>
      <c r="O46" s="7"/>
      <c r="P46" s="9" t="s">
        <v>346</v>
      </c>
    </row>
    <row r="47" customFormat="false" ht="35.05" hidden="false" customHeight="false" outlineLevel="0" collapsed="false">
      <c r="A47" s="4" t="s">
        <v>347</v>
      </c>
      <c r="B47" s="4" t="s">
        <v>348</v>
      </c>
      <c r="C47" s="4" t="s">
        <v>108</v>
      </c>
      <c r="D47" s="4" t="s">
        <v>75</v>
      </c>
      <c r="E47" s="4" t="s">
        <v>130</v>
      </c>
      <c r="F47" s="4" t="s">
        <v>349</v>
      </c>
      <c r="G47" s="4" t="s">
        <v>350</v>
      </c>
      <c r="H47" s="4" t="s">
        <v>160</v>
      </c>
      <c r="I47" s="4"/>
      <c r="J47" s="4" t="s">
        <v>173</v>
      </c>
      <c r="K47" s="5" t="s">
        <v>351</v>
      </c>
      <c r="L47" s="4"/>
      <c r="M47" s="4"/>
      <c r="N47" s="4" t="s">
        <v>316</v>
      </c>
      <c r="O47" s="4" t="s">
        <v>138</v>
      </c>
      <c r="P47" s="5" t="s">
        <v>352</v>
      </c>
    </row>
    <row r="48" customFormat="false" ht="23.85" hidden="false" customHeight="false" outlineLevel="0" collapsed="false">
      <c r="A48" s="4" t="s">
        <v>353</v>
      </c>
      <c r="B48" s="4" t="s">
        <v>354</v>
      </c>
      <c r="C48" s="4" t="s">
        <v>108</v>
      </c>
      <c r="D48" s="4" t="s">
        <v>75</v>
      </c>
      <c r="E48" s="4" t="s">
        <v>130</v>
      </c>
      <c r="F48" s="4" t="s">
        <v>355</v>
      </c>
      <c r="G48" s="4" t="s">
        <v>356</v>
      </c>
      <c r="H48" s="4" t="s">
        <v>160</v>
      </c>
      <c r="I48" s="4"/>
      <c r="J48" s="4" t="s">
        <v>173</v>
      </c>
      <c r="K48" s="5" t="s">
        <v>332</v>
      </c>
      <c r="L48" s="4"/>
      <c r="M48" s="4"/>
      <c r="N48" s="4" t="s">
        <v>316</v>
      </c>
      <c r="O48" s="4" t="s">
        <v>138</v>
      </c>
      <c r="P48" s="5" t="s">
        <v>357</v>
      </c>
    </row>
    <row r="49" customFormat="false" ht="15" hidden="false" customHeight="false" outlineLevel="0" collapsed="false">
      <c r="A49" s="7" t="s">
        <v>358</v>
      </c>
      <c r="B49" s="7" t="s">
        <v>359</v>
      </c>
      <c r="C49" s="7" t="s">
        <v>360</v>
      </c>
      <c r="D49" s="7"/>
      <c r="E49" s="7"/>
      <c r="F49" s="8" t="n">
        <v>46233.125</v>
      </c>
      <c r="G49" s="8" t="n">
        <v>46235.3125</v>
      </c>
      <c r="H49" s="7"/>
      <c r="I49" s="7"/>
      <c r="J49" s="7"/>
      <c r="K49" s="9" t="s">
        <v>328</v>
      </c>
      <c r="L49" s="7"/>
      <c r="M49" s="7"/>
      <c r="N49" s="7"/>
      <c r="O49" s="7"/>
      <c r="P49" s="9" t="s">
        <v>361</v>
      </c>
    </row>
    <row r="50" customFormat="false" ht="15" hidden="false" customHeight="false" outlineLevel="0" collapsed="false">
      <c r="A50" s="7" t="s">
        <v>362</v>
      </c>
      <c r="B50" s="7" t="s">
        <v>363</v>
      </c>
      <c r="C50" s="7" t="s">
        <v>364</v>
      </c>
      <c r="D50" s="7"/>
      <c r="E50" s="7"/>
      <c r="F50" s="8" t="n">
        <v>46247</v>
      </c>
      <c r="G50" s="8" t="n">
        <v>46247</v>
      </c>
      <c r="H50" s="7"/>
      <c r="I50" s="7"/>
      <c r="J50" s="7"/>
      <c r="K50" s="9" t="s">
        <v>365</v>
      </c>
      <c r="L50" s="7"/>
      <c r="M50" s="7"/>
      <c r="N50" s="7"/>
      <c r="O50" s="7"/>
      <c r="P50" s="9" t="s">
        <v>366</v>
      </c>
    </row>
    <row r="51" customFormat="false" ht="15" hidden="false" customHeight="false" outlineLevel="0" collapsed="false">
      <c r="A51" s="7" t="s">
        <v>367</v>
      </c>
      <c r="B51" s="7" t="s">
        <v>368</v>
      </c>
      <c r="C51" s="7" t="s">
        <v>369</v>
      </c>
      <c r="D51" s="7"/>
      <c r="E51" s="7"/>
      <c r="F51" s="8" t="n">
        <v>46235.4270833333</v>
      </c>
      <c r="G51" s="8" t="n">
        <v>46236.4236111111</v>
      </c>
      <c r="H51" s="7"/>
      <c r="I51" s="7"/>
      <c r="J51" s="7"/>
      <c r="K51" s="9" t="s">
        <v>370</v>
      </c>
      <c r="L51" s="7"/>
      <c r="M51" s="7"/>
      <c r="N51" s="7"/>
      <c r="O51" s="7"/>
      <c r="P51" s="9" t="s">
        <v>371</v>
      </c>
    </row>
    <row r="52" customFormat="false" ht="35.05" hidden="false" customHeight="false" outlineLevel="0" collapsed="false">
      <c r="A52" s="4" t="s">
        <v>372</v>
      </c>
      <c r="B52" s="4" t="s">
        <v>373</v>
      </c>
      <c r="C52" s="4" t="s">
        <v>108</v>
      </c>
      <c r="D52" s="4" t="s">
        <v>57</v>
      </c>
      <c r="E52" s="4" t="s">
        <v>130</v>
      </c>
      <c r="F52" s="4" t="s">
        <v>374</v>
      </c>
      <c r="G52" s="4" t="s">
        <v>375</v>
      </c>
      <c r="H52" s="4" t="s">
        <v>160</v>
      </c>
      <c r="I52" s="4"/>
      <c r="J52" s="4" t="s">
        <v>134</v>
      </c>
      <c r="K52" s="5" t="s">
        <v>376</v>
      </c>
      <c r="L52" s="4"/>
      <c r="M52" s="4"/>
      <c r="N52" s="4" t="s">
        <v>316</v>
      </c>
      <c r="O52" s="4" t="s">
        <v>138</v>
      </c>
      <c r="P52" s="5" t="s">
        <v>377</v>
      </c>
    </row>
    <row r="53" customFormat="false" ht="23.85" hidden="false" customHeight="false" outlineLevel="0" collapsed="false">
      <c r="A53" s="4" t="s">
        <v>378</v>
      </c>
      <c r="B53" s="4" t="s">
        <v>379</v>
      </c>
      <c r="C53" s="4" t="s">
        <v>108</v>
      </c>
      <c r="D53" s="4" t="s">
        <v>57</v>
      </c>
      <c r="E53" s="4" t="s">
        <v>311</v>
      </c>
      <c r="F53" s="4" t="s">
        <v>380</v>
      </c>
      <c r="G53" s="4" t="s">
        <v>381</v>
      </c>
      <c r="H53" s="4" t="s">
        <v>160</v>
      </c>
      <c r="I53" s="4"/>
      <c r="J53" s="4" t="s">
        <v>214</v>
      </c>
      <c r="K53" s="5" t="s">
        <v>382</v>
      </c>
      <c r="L53" s="4"/>
      <c r="M53" s="4"/>
      <c r="N53" s="4" t="s">
        <v>316</v>
      </c>
      <c r="O53" s="4" t="s">
        <v>138</v>
      </c>
      <c r="P53" s="5" t="s">
        <v>383</v>
      </c>
    </row>
    <row r="54" customFormat="false" ht="15" hidden="false" customHeight="false" outlineLevel="0" collapsed="false">
      <c r="A54" s="4" t="s">
        <v>384</v>
      </c>
      <c r="B54" s="4" t="s">
        <v>385</v>
      </c>
      <c r="C54" s="4" t="s">
        <v>108</v>
      </c>
      <c r="D54" s="4" t="s">
        <v>57</v>
      </c>
      <c r="E54" s="4" t="s">
        <v>386</v>
      </c>
      <c r="F54" s="4" t="s">
        <v>380</v>
      </c>
      <c r="G54" s="4" t="s">
        <v>297</v>
      </c>
      <c r="H54" s="4" t="s">
        <v>160</v>
      </c>
      <c r="I54" s="4"/>
      <c r="J54" s="4" t="s">
        <v>214</v>
      </c>
      <c r="K54" s="5" t="s">
        <v>382</v>
      </c>
      <c r="L54" s="4"/>
      <c r="M54" s="4"/>
      <c r="N54" s="4" t="s">
        <v>316</v>
      </c>
      <c r="O54" s="4" t="s">
        <v>138</v>
      </c>
      <c r="P54" s="5" t="s">
        <v>387</v>
      </c>
    </row>
    <row r="55" customFormat="false" ht="23.85" hidden="false" customHeight="false" outlineLevel="0" collapsed="false">
      <c r="A55" s="4" t="s">
        <v>388</v>
      </c>
      <c r="B55" s="4" t="s">
        <v>389</v>
      </c>
      <c r="C55" s="4" t="s">
        <v>108</v>
      </c>
      <c r="D55" s="4" t="s">
        <v>57</v>
      </c>
      <c r="E55" s="4" t="s">
        <v>390</v>
      </c>
      <c r="F55" s="4" t="s">
        <v>380</v>
      </c>
      <c r="G55" s="4" t="s">
        <v>297</v>
      </c>
      <c r="H55" s="4" t="s">
        <v>160</v>
      </c>
      <c r="I55" s="4"/>
      <c r="J55" s="4" t="s">
        <v>214</v>
      </c>
      <c r="K55" s="5" t="s">
        <v>382</v>
      </c>
      <c r="L55" s="4"/>
      <c r="M55" s="4"/>
      <c r="N55" s="4" t="s">
        <v>316</v>
      </c>
      <c r="O55" s="4" t="s">
        <v>138</v>
      </c>
      <c r="P55" s="5" t="s">
        <v>391</v>
      </c>
    </row>
    <row r="56" customFormat="false" ht="15" hidden="false" customHeight="false" outlineLevel="0" collapsed="false">
      <c r="A56" s="4" t="s">
        <v>392</v>
      </c>
      <c r="B56" s="4" t="s">
        <v>393</v>
      </c>
      <c r="C56" s="4" t="s">
        <v>108</v>
      </c>
      <c r="D56" s="4" t="s">
        <v>57</v>
      </c>
      <c r="E56" s="4" t="s">
        <v>394</v>
      </c>
      <c r="F56" s="4" t="s">
        <v>380</v>
      </c>
      <c r="G56" s="4" t="s">
        <v>297</v>
      </c>
      <c r="H56" s="4" t="s">
        <v>160</v>
      </c>
      <c r="I56" s="4"/>
      <c r="J56" s="4" t="s">
        <v>214</v>
      </c>
      <c r="K56" s="5" t="s">
        <v>395</v>
      </c>
      <c r="L56" s="4"/>
      <c r="M56" s="4"/>
      <c r="N56" s="4" t="s">
        <v>316</v>
      </c>
      <c r="O56" s="4" t="s">
        <v>138</v>
      </c>
      <c r="P56" s="5" t="s">
        <v>396</v>
      </c>
    </row>
    <row r="57" customFormat="false" ht="23.85" hidden="false" customHeight="false" outlineLevel="0" collapsed="false">
      <c r="A57" s="4" t="s">
        <v>397</v>
      </c>
      <c r="B57" s="4" t="s">
        <v>398</v>
      </c>
      <c r="C57" s="4" t="s">
        <v>108</v>
      </c>
      <c r="D57" s="4" t="s">
        <v>75</v>
      </c>
      <c r="E57" s="4" t="s">
        <v>386</v>
      </c>
      <c r="F57" s="4" t="s">
        <v>399</v>
      </c>
      <c r="G57" s="4" t="s">
        <v>400</v>
      </c>
      <c r="H57" s="4" t="s">
        <v>160</v>
      </c>
      <c r="I57" s="4"/>
      <c r="J57" s="4" t="s">
        <v>134</v>
      </c>
      <c r="K57" s="5" t="s">
        <v>365</v>
      </c>
      <c r="L57" s="4"/>
      <c r="M57" s="4"/>
      <c r="N57" s="4" t="s">
        <v>316</v>
      </c>
      <c r="O57" s="4" t="s">
        <v>138</v>
      </c>
      <c r="P57" s="5" t="s">
        <v>401</v>
      </c>
    </row>
    <row r="58" customFormat="false" ht="15" hidden="false" customHeight="false" outlineLevel="0" collapsed="false">
      <c r="A58" s="4" t="s">
        <v>402</v>
      </c>
      <c r="B58" s="4" t="s">
        <v>403</v>
      </c>
      <c r="C58" s="4" t="s">
        <v>108</v>
      </c>
      <c r="D58" s="4" t="s">
        <v>75</v>
      </c>
      <c r="E58" s="4" t="s">
        <v>390</v>
      </c>
      <c r="F58" s="4" t="s">
        <v>400</v>
      </c>
      <c r="G58" s="4" t="s">
        <v>404</v>
      </c>
      <c r="H58" s="4" t="s">
        <v>160</v>
      </c>
      <c r="I58" s="4"/>
      <c r="J58" s="4" t="s">
        <v>134</v>
      </c>
      <c r="K58" s="5" t="s">
        <v>365</v>
      </c>
      <c r="L58" s="4"/>
      <c r="M58" s="4"/>
      <c r="N58" s="4" t="s">
        <v>316</v>
      </c>
      <c r="O58" s="4" t="s">
        <v>138</v>
      </c>
      <c r="P58" s="5" t="s">
        <v>405</v>
      </c>
    </row>
    <row r="59" customFormat="false" ht="15" hidden="false" customHeight="false" outlineLevel="0" collapsed="false">
      <c r="A59" s="7" t="s">
        <v>406</v>
      </c>
      <c r="B59" s="7" t="s">
        <v>407</v>
      </c>
      <c r="C59" s="7" t="s">
        <v>323</v>
      </c>
      <c r="D59" s="7"/>
      <c r="E59" s="7"/>
      <c r="F59" s="8" t="n">
        <v>46692</v>
      </c>
      <c r="G59" s="8" t="n">
        <v>46692</v>
      </c>
      <c r="H59" s="7"/>
      <c r="I59" s="7"/>
      <c r="J59" s="7"/>
      <c r="K59" s="9" t="s">
        <v>365</v>
      </c>
      <c r="L59" s="7"/>
      <c r="M59" s="7"/>
      <c r="N59" s="7"/>
      <c r="O59" s="7"/>
      <c r="P59" s="9" t="s">
        <v>408</v>
      </c>
    </row>
    <row r="60" customFormat="false" ht="15" hidden="false" customHeight="false" outlineLevel="0" collapsed="false">
      <c r="A60" s="7" t="s">
        <v>409</v>
      </c>
      <c r="B60" s="7" t="s">
        <v>410</v>
      </c>
      <c r="C60" s="7" t="s">
        <v>323</v>
      </c>
      <c r="D60" s="7"/>
      <c r="E60" s="7"/>
      <c r="F60" s="8" t="n">
        <v>46304.25</v>
      </c>
      <c r="G60" s="8" t="n">
        <v>46354.2291666667</v>
      </c>
      <c r="H60" s="7"/>
      <c r="I60" s="7"/>
      <c r="J60" s="7"/>
      <c r="K60" s="9" t="s">
        <v>332</v>
      </c>
      <c r="L60" s="7"/>
      <c r="M60" s="7"/>
      <c r="N60" s="7"/>
      <c r="O60" s="7"/>
      <c r="P60" s="9" t="s">
        <v>411</v>
      </c>
    </row>
    <row r="61" customFormat="false" ht="15" hidden="false" customHeight="false" outlineLevel="0" collapsed="false">
      <c r="A61" s="7" t="s">
        <v>412</v>
      </c>
      <c r="B61" s="7" t="s">
        <v>413</v>
      </c>
      <c r="C61" s="7" t="s">
        <v>414</v>
      </c>
      <c r="D61" s="7"/>
      <c r="E61" s="7"/>
      <c r="F61" s="8" t="n">
        <v>46593</v>
      </c>
      <c r="G61" s="8" t="n">
        <v>46593</v>
      </c>
      <c r="H61" s="7"/>
      <c r="I61" s="7"/>
      <c r="J61" s="7"/>
      <c r="K61" s="9" t="s">
        <v>365</v>
      </c>
      <c r="L61" s="7"/>
      <c r="M61" s="7"/>
      <c r="N61" s="7"/>
      <c r="O61" s="7"/>
      <c r="P61" s="9" t="s">
        <v>415</v>
      </c>
    </row>
    <row r="62" customFormat="false" ht="15" hidden="false" customHeight="false" outlineLevel="0" collapsed="false">
      <c r="A62" s="7" t="s">
        <v>416</v>
      </c>
      <c r="B62" s="7" t="s">
        <v>417</v>
      </c>
      <c r="C62" s="7" t="s">
        <v>414</v>
      </c>
      <c r="D62" s="7"/>
      <c r="E62" s="7"/>
      <c r="F62" s="8" t="n">
        <v>46277.5833333333</v>
      </c>
      <c r="G62" s="8" t="n">
        <v>46280.8333333333</v>
      </c>
      <c r="H62" s="7"/>
      <c r="I62" s="7"/>
      <c r="J62" s="7"/>
      <c r="K62" s="9" t="s">
        <v>328</v>
      </c>
      <c r="L62" s="7"/>
      <c r="M62" s="7"/>
      <c r="N62" s="7"/>
      <c r="O62" s="7"/>
      <c r="P62" s="9" t="s">
        <v>418</v>
      </c>
    </row>
    <row r="63" customFormat="false" ht="35.05" hidden="false" customHeight="false" outlineLevel="0" collapsed="false">
      <c r="A63" s="4" t="s">
        <v>419</v>
      </c>
      <c r="B63" s="4" t="s">
        <v>420</v>
      </c>
      <c r="C63" s="4" t="s">
        <v>108</v>
      </c>
      <c r="D63" s="4" t="s">
        <v>57</v>
      </c>
      <c r="E63" s="4" t="s">
        <v>130</v>
      </c>
      <c r="F63" s="4" t="s">
        <v>421</v>
      </c>
      <c r="G63" s="4" t="s">
        <v>422</v>
      </c>
      <c r="H63" s="4" t="s">
        <v>160</v>
      </c>
      <c r="I63" s="4"/>
      <c r="J63" s="4" t="s">
        <v>134</v>
      </c>
      <c r="K63" s="5" t="s">
        <v>423</v>
      </c>
      <c r="L63" s="4"/>
      <c r="M63" s="4"/>
      <c r="N63" s="4" t="s">
        <v>316</v>
      </c>
      <c r="O63" s="4" t="s">
        <v>138</v>
      </c>
      <c r="P63" s="5" t="s">
        <v>424</v>
      </c>
    </row>
    <row r="64" customFormat="false" ht="35.05" hidden="false" customHeight="false" outlineLevel="0" collapsed="false">
      <c r="A64" s="4" t="s">
        <v>425</v>
      </c>
      <c r="B64" s="4" t="s">
        <v>426</v>
      </c>
      <c r="C64" s="4" t="s">
        <v>108</v>
      </c>
      <c r="D64" s="4" t="s">
        <v>75</v>
      </c>
      <c r="E64" s="4" t="s">
        <v>130</v>
      </c>
      <c r="F64" s="4" t="s">
        <v>427</v>
      </c>
      <c r="G64" s="4" t="s">
        <v>428</v>
      </c>
      <c r="H64" s="4" t="s">
        <v>160</v>
      </c>
      <c r="I64" s="4"/>
      <c r="J64" s="4" t="s">
        <v>134</v>
      </c>
      <c r="K64" s="5" t="s">
        <v>429</v>
      </c>
      <c r="L64" s="4"/>
      <c r="M64" s="4"/>
      <c r="N64" s="4" t="s">
        <v>316</v>
      </c>
      <c r="O64" s="4" t="s">
        <v>138</v>
      </c>
      <c r="P64" s="5" t="s">
        <v>430</v>
      </c>
    </row>
    <row r="65" customFormat="false" ht="661.9" hidden="false" customHeight="false" outlineLevel="0" collapsed="false">
      <c r="A65" s="4" t="s">
        <v>431</v>
      </c>
      <c r="B65" s="4" t="s">
        <v>432</v>
      </c>
      <c r="C65" s="4" t="s">
        <v>92</v>
      </c>
      <c r="D65" s="4" t="s">
        <v>57</v>
      </c>
      <c r="E65" s="4"/>
      <c r="F65" s="10" t="n">
        <v>46366.4583333333</v>
      </c>
      <c r="G65" s="10" t="n">
        <v>46369.3125</v>
      </c>
      <c r="H65" s="4"/>
      <c r="I65" s="4"/>
      <c r="J65" s="4"/>
      <c r="K65" s="5" t="s">
        <v>433</v>
      </c>
      <c r="L65" s="4"/>
      <c r="M65" s="4"/>
      <c r="N65" s="4"/>
      <c r="O65" s="4"/>
      <c r="P65" s="5" t="s">
        <v>434</v>
      </c>
    </row>
    <row r="66" customFormat="false" ht="661.9" hidden="false" customHeight="false" outlineLevel="0" collapsed="false">
      <c r="A66" s="4" t="s">
        <v>435</v>
      </c>
      <c r="B66" s="4" t="s">
        <v>436</v>
      </c>
      <c r="C66" s="4" t="s">
        <v>92</v>
      </c>
      <c r="D66" s="4" t="s">
        <v>57</v>
      </c>
      <c r="E66" s="4"/>
      <c r="F66" s="10" t="n">
        <v>46289</v>
      </c>
      <c r="G66" s="10" t="n">
        <v>46289</v>
      </c>
      <c r="H66" s="4"/>
      <c r="I66" s="4"/>
      <c r="J66" s="4"/>
      <c r="K66" s="5" t="s">
        <v>365</v>
      </c>
      <c r="L66" s="4"/>
      <c r="M66" s="4"/>
      <c r="N66" s="4"/>
      <c r="O66" s="4"/>
      <c r="P66" s="5" t="s">
        <v>434</v>
      </c>
    </row>
    <row r="67" customFormat="false" ht="762.65" hidden="false" customHeight="false" outlineLevel="0" collapsed="false">
      <c r="A67" s="4" t="s">
        <v>437</v>
      </c>
      <c r="B67" s="4" t="s">
        <v>438</v>
      </c>
      <c r="C67" s="4" t="s">
        <v>92</v>
      </c>
      <c r="D67" s="4" t="s">
        <v>75</v>
      </c>
      <c r="E67" s="4"/>
      <c r="F67" s="10" t="n">
        <v>46281.8333333333</v>
      </c>
      <c r="G67" s="10" t="n">
        <v>46283.0416666667</v>
      </c>
      <c r="H67" s="4"/>
      <c r="I67" s="4"/>
      <c r="J67" s="4"/>
      <c r="K67" s="5" t="s">
        <v>332</v>
      </c>
      <c r="L67" s="4"/>
      <c r="M67" s="4"/>
      <c r="N67" s="4"/>
      <c r="O67" s="4"/>
      <c r="P67" s="5" t="s">
        <v>439</v>
      </c>
    </row>
    <row r="68" customFormat="false" ht="23.85" hidden="false" customHeight="false" outlineLevel="0" collapsed="false">
      <c r="A68" s="4" t="s">
        <v>440</v>
      </c>
      <c r="B68" s="4" t="s">
        <v>441</v>
      </c>
      <c r="C68" s="4" t="s">
        <v>108</v>
      </c>
      <c r="D68" s="4" t="s">
        <v>75</v>
      </c>
      <c r="E68" s="4" t="s">
        <v>394</v>
      </c>
      <c r="F68" s="4" t="s">
        <v>442</v>
      </c>
      <c r="G68" s="4" t="s">
        <v>443</v>
      </c>
      <c r="H68" s="4" t="s">
        <v>160</v>
      </c>
      <c r="I68" s="4"/>
      <c r="J68" s="4" t="s">
        <v>134</v>
      </c>
      <c r="K68" s="5" t="s">
        <v>314</v>
      </c>
      <c r="L68" s="4"/>
      <c r="M68" s="4"/>
      <c r="N68" s="4" t="s">
        <v>316</v>
      </c>
      <c r="O68" s="4" t="s">
        <v>138</v>
      </c>
      <c r="P68" s="5" t="s">
        <v>444</v>
      </c>
    </row>
    <row r="69" customFormat="false" ht="23.85" hidden="false" customHeight="false" outlineLevel="0" collapsed="false">
      <c r="A69" s="4" t="s">
        <v>445</v>
      </c>
      <c r="B69" s="4" t="s">
        <v>446</v>
      </c>
      <c r="C69" s="4" t="s">
        <v>108</v>
      </c>
      <c r="D69" s="4" t="s">
        <v>75</v>
      </c>
      <c r="E69" s="4" t="s">
        <v>394</v>
      </c>
      <c r="F69" s="4" t="s">
        <v>447</v>
      </c>
      <c r="G69" s="4" t="s">
        <v>381</v>
      </c>
      <c r="H69" s="4" t="s">
        <v>160</v>
      </c>
      <c r="I69" s="4"/>
      <c r="J69" s="4" t="s">
        <v>214</v>
      </c>
      <c r="K69" s="5" t="s">
        <v>365</v>
      </c>
      <c r="L69" s="4"/>
      <c r="M69" s="4"/>
      <c r="N69" s="4" t="s">
        <v>316</v>
      </c>
      <c r="O69" s="4" t="s">
        <v>138</v>
      </c>
      <c r="P69" s="5" t="s">
        <v>448</v>
      </c>
    </row>
    <row r="70" customFormat="false" ht="46.25" hidden="false" customHeight="false" outlineLevel="0" collapsed="false">
      <c r="A70" s="4" t="s">
        <v>449</v>
      </c>
      <c r="B70" s="4" t="s">
        <v>450</v>
      </c>
      <c r="C70" s="4" t="s">
        <v>108</v>
      </c>
      <c r="D70" s="4" t="s">
        <v>57</v>
      </c>
      <c r="E70" s="4" t="s">
        <v>394</v>
      </c>
      <c r="F70" s="4" t="s">
        <v>380</v>
      </c>
      <c r="G70" s="4" t="s">
        <v>381</v>
      </c>
      <c r="H70" s="4" t="s">
        <v>160</v>
      </c>
      <c r="I70" s="4"/>
      <c r="J70" s="4" t="s">
        <v>214</v>
      </c>
      <c r="K70" s="5" t="s">
        <v>382</v>
      </c>
      <c r="L70" s="4"/>
      <c r="M70" s="4"/>
      <c r="N70" s="4" t="s">
        <v>316</v>
      </c>
      <c r="O70" s="4" t="s">
        <v>138</v>
      </c>
      <c r="P70" s="5" t="s">
        <v>451</v>
      </c>
    </row>
    <row r="71" customFormat="false" ht="23.85" hidden="false" customHeight="false" outlineLevel="0" collapsed="false">
      <c r="A71" s="4" t="s">
        <v>452</v>
      </c>
      <c r="B71" s="4" t="s">
        <v>453</v>
      </c>
      <c r="C71" s="4" t="s">
        <v>108</v>
      </c>
      <c r="D71" s="4" t="s">
        <v>57</v>
      </c>
      <c r="E71" s="4" t="s">
        <v>311</v>
      </c>
      <c r="F71" s="4" t="s">
        <v>454</v>
      </c>
      <c r="G71" s="4" t="s">
        <v>455</v>
      </c>
      <c r="H71" s="4" t="s">
        <v>160</v>
      </c>
      <c r="I71" s="4"/>
      <c r="J71" s="4" t="s">
        <v>134</v>
      </c>
      <c r="K71" s="5" t="s">
        <v>456</v>
      </c>
      <c r="L71" s="4"/>
      <c r="M71" s="4"/>
      <c r="N71" s="4" t="s">
        <v>316</v>
      </c>
      <c r="O71" s="4" t="s">
        <v>138</v>
      </c>
      <c r="P71" s="5" t="s">
        <v>457</v>
      </c>
    </row>
    <row r="72" customFormat="false" ht="15" hidden="false" customHeight="false" outlineLevel="0" collapsed="false">
      <c r="A72" s="4" t="s">
        <v>458</v>
      </c>
      <c r="B72" s="4" t="s">
        <v>459</v>
      </c>
      <c r="C72" s="4" t="s">
        <v>108</v>
      </c>
      <c r="D72" s="4" t="s">
        <v>57</v>
      </c>
      <c r="E72" s="4" t="s">
        <v>386</v>
      </c>
      <c r="F72" s="4" t="s">
        <v>454</v>
      </c>
      <c r="G72" s="4" t="s">
        <v>455</v>
      </c>
      <c r="H72" s="4" t="s">
        <v>160</v>
      </c>
      <c r="I72" s="4"/>
      <c r="J72" s="4" t="s">
        <v>134</v>
      </c>
      <c r="K72" s="5" t="s">
        <v>456</v>
      </c>
      <c r="L72" s="4"/>
      <c r="M72" s="4"/>
      <c r="N72" s="4" t="s">
        <v>316</v>
      </c>
      <c r="O72" s="4" t="s">
        <v>138</v>
      </c>
      <c r="P72" s="5" t="s">
        <v>460</v>
      </c>
    </row>
    <row r="73" customFormat="false" ht="15" hidden="false" customHeight="false" outlineLevel="0" collapsed="false">
      <c r="A73" s="4" t="s">
        <v>461</v>
      </c>
      <c r="B73" s="4" t="s">
        <v>462</v>
      </c>
      <c r="C73" s="4" t="s">
        <v>108</v>
      </c>
      <c r="D73" s="4" t="s">
        <v>57</v>
      </c>
      <c r="E73" s="4" t="s">
        <v>390</v>
      </c>
      <c r="F73" s="4" t="s">
        <v>454</v>
      </c>
      <c r="G73" s="4" t="s">
        <v>455</v>
      </c>
      <c r="H73" s="4" t="s">
        <v>160</v>
      </c>
      <c r="I73" s="4"/>
      <c r="J73" s="4" t="s">
        <v>134</v>
      </c>
      <c r="K73" s="5" t="s">
        <v>456</v>
      </c>
      <c r="L73" s="4"/>
      <c r="M73" s="4"/>
      <c r="N73" s="4" t="s">
        <v>316</v>
      </c>
      <c r="O73" s="4" t="s">
        <v>138</v>
      </c>
      <c r="P73" s="5" t="s">
        <v>463</v>
      </c>
    </row>
    <row r="74" customFormat="false" ht="15" hidden="false" customHeight="false" outlineLevel="0" collapsed="false">
      <c r="A74" s="4" t="s">
        <v>464</v>
      </c>
      <c r="B74" s="4" t="s">
        <v>465</v>
      </c>
      <c r="C74" s="4" t="s">
        <v>108</v>
      </c>
      <c r="D74" s="4" t="s">
        <v>75</v>
      </c>
      <c r="E74" s="4" t="s">
        <v>311</v>
      </c>
      <c r="F74" s="4" t="s">
        <v>447</v>
      </c>
      <c r="G74" s="4" t="s">
        <v>203</v>
      </c>
      <c r="H74" s="4" t="s">
        <v>160</v>
      </c>
      <c r="I74" s="4"/>
      <c r="J74" s="4" t="s">
        <v>214</v>
      </c>
      <c r="K74" s="5" t="s">
        <v>365</v>
      </c>
      <c r="L74" s="4"/>
      <c r="M74" s="4"/>
      <c r="N74" s="4" t="s">
        <v>316</v>
      </c>
      <c r="O74" s="4" t="s">
        <v>138</v>
      </c>
      <c r="P74" s="5" t="s">
        <v>466</v>
      </c>
    </row>
    <row r="75" customFormat="false" ht="23.85" hidden="false" customHeight="false" outlineLevel="0" collapsed="false">
      <c r="A75" s="4" t="s">
        <v>467</v>
      </c>
      <c r="B75" s="4" t="s">
        <v>468</v>
      </c>
      <c r="C75" s="4" t="s">
        <v>108</v>
      </c>
      <c r="D75" s="4" t="s">
        <v>75</v>
      </c>
      <c r="E75" s="4" t="s">
        <v>386</v>
      </c>
      <c r="F75" s="4" t="s">
        <v>469</v>
      </c>
      <c r="G75" s="4" t="s">
        <v>470</v>
      </c>
      <c r="H75" s="4" t="s">
        <v>160</v>
      </c>
      <c r="I75" s="4"/>
      <c r="J75" s="4" t="s">
        <v>173</v>
      </c>
      <c r="K75" s="5" t="s">
        <v>471</v>
      </c>
      <c r="L75" s="4"/>
      <c r="M75" s="4"/>
      <c r="N75" s="4" t="s">
        <v>316</v>
      </c>
      <c r="O75" s="4" t="s">
        <v>138</v>
      </c>
      <c r="P75" s="5" t="s">
        <v>472</v>
      </c>
    </row>
    <row r="76" customFormat="false" ht="661.9" hidden="false" customHeight="false" outlineLevel="0" collapsed="false">
      <c r="A76" s="4" t="s">
        <v>473</v>
      </c>
      <c r="B76" s="4" t="s">
        <v>474</v>
      </c>
      <c r="C76" s="4" t="s">
        <v>92</v>
      </c>
      <c r="D76" s="4" t="s">
        <v>57</v>
      </c>
      <c r="E76" s="4"/>
      <c r="F76" s="10" t="n">
        <v>46274</v>
      </c>
      <c r="G76" s="10" t="n">
        <v>46278</v>
      </c>
      <c r="H76" s="4"/>
      <c r="I76" s="4"/>
      <c r="J76" s="4"/>
      <c r="K76" s="5" t="s">
        <v>433</v>
      </c>
      <c r="L76" s="4"/>
      <c r="M76" s="4"/>
      <c r="N76" s="4"/>
      <c r="O76" s="4"/>
      <c r="P76" s="5" t="s">
        <v>434</v>
      </c>
    </row>
    <row r="77" customFormat="false" ht="762.65" hidden="false" customHeight="false" outlineLevel="0" collapsed="false">
      <c r="A77" s="4" t="s">
        <v>475</v>
      </c>
      <c r="B77" s="4" t="s">
        <v>476</v>
      </c>
      <c r="C77" s="4" t="s">
        <v>92</v>
      </c>
      <c r="D77" s="4" t="s">
        <v>75</v>
      </c>
      <c r="E77" s="4"/>
      <c r="F77" s="10" t="n">
        <v>46234.0208333333</v>
      </c>
      <c r="G77" s="10" t="n">
        <v>46238.0208333333</v>
      </c>
      <c r="H77" s="4"/>
      <c r="I77" s="4"/>
      <c r="J77" s="4"/>
      <c r="K77" s="5" t="s">
        <v>433</v>
      </c>
      <c r="L77" s="4"/>
      <c r="M77" s="4"/>
      <c r="N77" s="4"/>
      <c r="O77" s="4"/>
      <c r="P77" s="5" t="s">
        <v>439</v>
      </c>
    </row>
    <row r="78" customFormat="false" ht="762.65" hidden="false" customHeight="false" outlineLevel="0" collapsed="false">
      <c r="A78" s="4" t="s">
        <v>477</v>
      </c>
      <c r="B78" s="4" t="s">
        <v>478</v>
      </c>
      <c r="C78" s="4" t="s">
        <v>92</v>
      </c>
      <c r="D78" s="4" t="s">
        <v>75</v>
      </c>
      <c r="E78" s="4"/>
      <c r="F78" s="10" t="n">
        <v>46276.3125</v>
      </c>
      <c r="G78" s="10" t="n">
        <v>46284.3125</v>
      </c>
      <c r="H78" s="4"/>
      <c r="I78" s="4"/>
      <c r="J78" s="4"/>
      <c r="K78" s="5" t="s">
        <v>479</v>
      </c>
      <c r="L78" s="4"/>
      <c r="M78" s="4"/>
      <c r="N78" s="4"/>
      <c r="O78" s="4"/>
      <c r="P78" s="5" t="s">
        <v>439</v>
      </c>
    </row>
    <row r="79" customFormat="false" ht="661.9" hidden="false" customHeight="false" outlineLevel="0" collapsed="false">
      <c r="A79" s="4" t="s">
        <v>480</v>
      </c>
      <c r="B79" s="4" t="s">
        <v>481</v>
      </c>
      <c r="C79" s="4" t="s">
        <v>92</v>
      </c>
      <c r="D79" s="4" t="s">
        <v>57</v>
      </c>
      <c r="E79" s="4"/>
      <c r="F79" s="10" t="n">
        <v>46280.5625</v>
      </c>
      <c r="G79" s="10" t="n">
        <v>46284.3958333333</v>
      </c>
      <c r="H79" s="4"/>
      <c r="I79" s="4"/>
      <c r="J79" s="4"/>
      <c r="K79" s="5" t="s">
        <v>433</v>
      </c>
      <c r="L79" s="4"/>
      <c r="M79" s="4"/>
      <c r="N79" s="4"/>
      <c r="O79" s="4"/>
      <c r="P79" s="5" t="s">
        <v>434</v>
      </c>
    </row>
    <row r="80" customFormat="false" ht="23.85" hidden="false" customHeight="false" outlineLevel="0" collapsed="false">
      <c r="A80" s="4" t="s">
        <v>482</v>
      </c>
      <c r="B80" s="4" t="s">
        <v>483</v>
      </c>
      <c r="C80" s="4" t="s">
        <v>108</v>
      </c>
      <c r="D80" s="4" t="s">
        <v>57</v>
      </c>
      <c r="E80" s="4" t="s">
        <v>394</v>
      </c>
      <c r="F80" s="4" t="s">
        <v>454</v>
      </c>
      <c r="G80" s="4" t="s">
        <v>455</v>
      </c>
      <c r="H80" s="4" t="s">
        <v>160</v>
      </c>
      <c r="I80" s="4"/>
      <c r="J80" s="4" t="s">
        <v>134</v>
      </c>
      <c r="K80" s="5" t="s">
        <v>484</v>
      </c>
      <c r="L80" s="4"/>
      <c r="M80" s="4"/>
      <c r="N80" s="4" t="s">
        <v>316</v>
      </c>
      <c r="O80" s="4" t="s">
        <v>138</v>
      </c>
      <c r="P80" s="5" t="s">
        <v>485</v>
      </c>
    </row>
    <row r="81" customFormat="false" ht="661.9" hidden="false" customHeight="false" outlineLevel="0" collapsed="false">
      <c r="A81" s="4" t="s">
        <v>486</v>
      </c>
      <c r="B81" s="4" t="s">
        <v>487</v>
      </c>
      <c r="C81" s="4" t="s">
        <v>92</v>
      </c>
      <c r="D81" s="4" t="s">
        <v>57</v>
      </c>
      <c r="E81" s="4"/>
      <c r="F81" s="10" t="n">
        <v>46301.3958333333</v>
      </c>
      <c r="G81" s="10" t="n">
        <v>46312.3958333333</v>
      </c>
      <c r="H81" s="4"/>
      <c r="I81" s="4"/>
      <c r="J81" s="4"/>
      <c r="K81" s="5" t="s">
        <v>479</v>
      </c>
      <c r="L81" s="4"/>
      <c r="M81" s="4"/>
      <c r="N81" s="4"/>
      <c r="O81" s="4"/>
      <c r="P81" s="5" t="s">
        <v>434</v>
      </c>
    </row>
    <row r="82" customFormat="false" ht="35.05" hidden="false" customHeight="false" outlineLevel="0" collapsed="false">
      <c r="A82" s="4" t="s">
        <v>488</v>
      </c>
      <c r="B82" s="4" t="s">
        <v>489</v>
      </c>
      <c r="C82" s="4" t="s">
        <v>99</v>
      </c>
      <c r="D82" s="4" t="s">
        <v>57</v>
      </c>
      <c r="E82" s="4" t="s">
        <v>201</v>
      </c>
      <c r="F82" s="4" t="s">
        <v>490</v>
      </c>
      <c r="G82" s="4" t="s">
        <v>491</v>
      </c>
      <c r="H82" s="4" t="s">
        <v>160</v>
      </c>
      <c r="I82" s="4" t="s">
        <v>213</v>
      </c>
      <c r="J82" s="4" t="s">
        <v>134</v>
      </c>
      <c r="K82" s="5" t="s">
        <v>492</v>
      </c>
      <c r="L82" s="4"/>
      <c r="M82" s="4" t="s">
        <v>493</v>
      </c>
      <c r="N82" s="4" t="s">
        <v>494</v>
      </c>
      <c r="O82" s="4" t="s">
        <v>495</v>
      </c>
      <c r="P82" s="5"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4" min="4" style="0" width="30"/>
    <col collapsed="false" customWidth="true" hidden="false" outlineLevel="0" max="6" min="6" style="0" width="22"/>
    <col collapsed="false" customWidth="true" hidden="false" outlineLevel="0" max="8" min="8" style="0" width="11"/>
    <col collapsed="false" customWidth="true" hidden="false" outlineLevel="0" max="9" min="9" style="0" width="56"/>
    <col collapsed="false" customWidth="true" hidden="false" outlineLevel="0" max="10" min="10" style="0" width="38"/>
    <col collapsed="false" customWidth="true" hidden="false" outlineLevel="0" max="11" min="11" style="0" width="54"/>
    <col collapsed="false" customWidth="true" hidden="false" outlineLevel="0" max="12" min="12" style="0" width="62"/>
    <col collapsed="false" customWidth="true" hidden="false" outlineLevel="0" max="13" min="13" style="0" width="74"/>
    <col collapsed="false" customWidth="true" hidden="false" outlineLevel="0" max="15" min="15" style="0" width="28"/>
    <col collapsed="false" customWidth="true" hidden="false" outlineLevel="0" max="18" min="18" style="0" width="10"/>
    <col collapsed="false" customWidth="true" hidden="false" outlineLevel="0" max="19" min="19" style="0" width="22"/>
  </cols>
  <sheetData>
    <row r="1" customFormat="false" ht="15" hidden="false" customHeight="false" outlineLevel="0" collapsed="false">
      <c r="A1" s="3" t="s">
        <v>497</v>
      </c>
      <c r="B1" s="3" t="s">
        <v>498</v>
      </c>
      <c r="C1" s="3" t="s">
        <v>499</v>
      </c>
      <c r="D1" s="3" t="s">
        <v>500</v>
      </c>
      <c r="E1" s="3" t="s">
        <v>501</v>
      </c>
      <c r="F1" s="3" t="s">
        <v>502</v>
      </c>
      <c r="G1" s="3" t="s">
        <v>503</v>
      </c>
      <c r="H1" s="3" t="s">
        <v>504</v>
      </c>
      <c r="I1" s="3" t="s">
        <v>505</v>
      </c>
      <c r="J1" s="3" t="s">
        <v>506</v>
      </c>
      <c r="K1" s="3" t="s">
        <v>507</v>
      </c>
      <c r="L1" s="3" t="s">
        <v>508</v>
      </c>
      <c r="M1" s="3" t="s">
        <v>509</v>
      </c>
      <c r="N1" s="3" t="s">
        <v>510</v>
      </c>
      <c r="O1" s="3" t="s">
        <v>511</v>
      </c>
      <c r="P1" s="3" t="s">
        <v>126</v>
      </c>
      <c r="Q1" s="3" t="s">
        <v>127</v>
      </c>
      <c r="R1" s="3" t="s">
        <v>53</v>
      </c>
      <c r="S1" s="3" t="s">
        <v>512</v>
      </c>
      <c r="T1" s="3" t="s">
        <v>513</v>
      </c>
    </row>
    <row r="2" customFormat="false" ht="15" hidden="false" customHeight="false" outlineLevel="0" collapsed="false">
      <c r="A2" s="4" t="s">
        <v>514</v>
      </c>
      <c r="B2" s="4" t="s">
        <v>128</v>
      </c>
      <c r="C2" s="4" t="s">
        <v>515</v>
      </c>
      <c r="D2" s="4" t="s">
        <v>516</v>
      </c>
      <c r="E2" s="4" t="s">
        <v>517</v>
      </c>
      <c r="F2" s="4" t="s">
        <v>518</v>
      </c>
      <c r="G2" s="4"/>
      <c r="H2" s="11"/>
      <c r="I2" s="5" t="s">
        <v>519</v>
      </c>
      <c r="J2" s="5"/>
      <c r="K2" s="5"/>
      <c r="L2" s="5"/>
      <c r="M2" s="5"/>
      <c r="N2" s="4" t="n">
        <v>0</v>
      </c>
      <c r="O2" s="4"/>
      <c r="P2" s="4" t="s">
        <v>137</v>
      </c>
      <c r="Q2" s="4" t="s">
        <v>138</v>
      </c>
      <c r="R2" s="4"/>
      <c r="S2" s="4"/>
      <c r="T2" s="4" t="str">
        <f aca="false">IF(AND(COUNTIF(Competitions!A:A,B2)+COUNTIF(Ranking_Systems!A:A,B2)+COUNTIF(Olympic_Events!A:A,B2)+IF(OR(B2="HOST_USA",B2="TRIPARTITE"),1,0)&gt;0,COUNTIF(Competitions!A:A,D2)+COUNTIF(Ranking_Systems!A:A,D2)+COUNTIF(Olympic_Events!A:A,D2)&gt;0),"OK","BROKEN")</f>
        <v>OK</v>
      </c>
    </row>
    <row r="3" customFormat="false" ht="15" hidden="false" customHeight="false" outlineLevel="0" collapsed="false">
      <c r="A3" s="4" t="s">
        <v>520</v>
      </c>
      <c r="B3" s="4" t="s">
        <v>140</v>
      </c>
      <c r="C3" s="4" t="s">
        <v>515</v>
      </c>
      <c r="D3" s="4" t="s">
        <v>516</v>
      </c>
      <c r="E3" s="4" t="s">
        <v>517</v>
      </c>
      <c r="F3" s="4" t="s">
        <v>518</v>
      </c>
      <c r="G3" s="4"/>
      <c r="H3" s="11"/>
      <c r="I3" s="5" t="s">
        <v>519</v>
      </c>
      <c r="J3" s="5"/>
      <c r="K3" s="5"/>
      <c r="L3" s="5"/>
      <c r="M3" s="5"/>
      <c r="N3" s="4" t="n">
        <v>0</v>
      </c>
      <c r="O3" s="4"/>
      <c r="P3" s="4" t="s">
        <v>137</v>
      </c>
      <c r="Q3" s="4" t="s">
        <v>138</v>
      </c>
      <c r="R3" s="4"/>
      <c r="S3" s="4"/>
      <c r="T3" s="4" t="str">
        <f aca="false">IF(AND(COUNTIF(Competitions!A:A,B3)+COUNTIF(Ranking_Systems!A:A,B3)+COUNTIF(Olympic_Events!A:A,B3)+IF(OR(B3="HOST_USA",B3="TRIPARTITE"),1,0)&gt;0,COUNTIF(Competitions!A:A,D3)+COUNTIF(Ranking_Systems!A:A,D3)+COUNTIF(Olympic_Events!A:A,D3)&gt;0),"OK","BROKEN")</f>
        <v>OK</v>
      </c>
    </row>
    <row r="4" customFormat="false" ht="15" hidden="false" customHeight="false" outlineLevel="0" collapsed="false">
      <c r="A4" s="4" t="s">
        <v>521</v>
      </c>
      <c r="B4" s="4" t="s">
        <v>142</v>
      </c>
      <c r="C4" s="4" t="s">
        <v>515</v>
      </c>
      <c r="D4" s="4" t="s">
        <v>516</v>
      </c>
      <c r="E4" s="4" t="s">
        <v>517</v>
      </c>
      <c r="F4" s="4" t="s">
        <v>518</v>
      </c>
      <c r="G4" s="4"/>
      <c r="H4" s="11"/>
      <c r="I4" s="5" t="s">
        <v>519</v>
      </c>
      <c r="J4" s="5"/>
      <c r="K4" s="5"/>
      <c r="L4" s="5"/>
      <c r="M4" s="5"/>
      <c r="N4" s="4" t="n">
        <v>0</v>
      </c>
      <c r="O4" s="4"/>
      <c r="P4" s="4" t="s">
        <v>137</v>
      </c>
      <c r="Q4" s="4" t="s">
        <v>138</v>
      </c>
      <c r="R4" s="4"/>
      <c r="S4" s="4"/>
      <c r="T4" s="4" t="str">
        <f aca="false">IF(AND(COUNTIF(Competitions!A:A,B4)+COUNTIF(Ranking_Systems!A:A,B4)+COUNTIF(Olympic_Events!A:A,B4)+IF(OR(B4="HOST_USA",B4="TRIPARTITE"),1,0)&gt;0,COUNTIF(Competitions!A:A,D4)+COUNTIF(Ranking_Systems!A:A,D4)+COUNTIF(Olympic_Events!A:A,D4)&gt;0),"OK","BROKEN")</f>
        <v>OK</v>
      </c>
    </row>
    <row r="5" customFormat="false" ht="15" hidden="false" customHeight="false" outlineLevel="0" collapsed="false">
      <c r="A5" s="4" t="s">
        <v>522</v>
      </c>
      <c r="B5" s="4" t="s">
        <v>144</v>
      </c>
      <c r="C5" s="4" t="s">
        <v>515</v>
      </c>
      <c r="D5" s="4" t="s">
        <v>523</v>
      </c>
      <c r="E5" s="4" t="s">
        <v>517</v>
      </c>
      <c r="F5" s="4" t="s">
        <v>518</v>
      </c>
      <c r="G5" s="4"/>
      <c r="H5" s="11"/>
      <c r="I5" s="5" t="s">
        <v>524</v>
      </c>
      <c r="J5" s="5"/>
      <c r="K5" s="5"/>
      <c r="L5" s="5"/>
      <c r="M5" s="5"/>
      <c r="N5" s="4" t="n">
        <v>0</v>
      </c>
      <c r="O5" s="4"/>
      <c r="P5" s="4" t="s">
        <v>146</v>
      </c>
      <c r="Q5" s="4" t="s">
        <v>138</v>
      </c>
      <c r="R5" s="4"/>
      <c r="S5" s="4"/>
      <c r="T5" s="4" t="str">
        <f aca="false">IF(AND(COUNTIF(Competitions!A:A,B5)+COUNTIF(Ranking_Systems!A:A,B5)+COUNTIF(Olympic_Events!A:A,B5)+IF(OR(B5="HOST_USA",B5="TRIPARTITE"),1,0)&gt;0,COUNTIF(Competitions!A:A,D5)+COUNTIF(Ranking_Systems!A:A,D5)+COUNTIF(Olympic_Events!A:A,D5)&gt;0),"OK","BROKEN")</f>
        <v>OK</v>
      </c>
    </row>
    <row r="6" customFormat="false" ht="15" hidden="false" customHeight="false" outlineLevel="0" collapsed="false">
      <c r="A6" s="4" t="s">
        <v>525</v>
      </c>
      <c r="B6" s="4" t="s">
        <v>148</v>
      </c>
      <c r="C6" s="4" t="s">
        <v>515</v>
      </c>
      <c r="D6" s="4" t="s">
        <v>523</v>
      </c>
      <c r="E6" s="4" t="s">
        <v>517</v>
      </c>
      <c r="F6" s="4" t="s">
        <v>518</v>
      </c>
      <c r="G6" s="4"/>
      <c r="H6" s="11"/>
      <c r="I6" s="5" t="s">
        <v>524</v>
      </c>
      <c r="J6" s="5"/>
      <c r="K6" s="5"/>
      <c r="L6" s="5"/>
      <c r="M6" s="5"/>
      <c r="N6" s="4" t="n">
        <v>0</v>
      </c>
      <c r="O6" s="4"/>
      <c r="P6" s="4" t="s">
        <v>146</v>
      </c>
      <c r="Q6" s="4" t="s">
        <v>138</v>
      </c>
      <c r="R6" s="4"/>
      <c r="S6" s="4"/>
      <c r="T6" s="4" t="str">
        <f aca="false">IF(AND(COUNTIF(Competitions!A:A,B6)+COUNTIF(Ranking_Systems!A:A,B6)+COUNTIF(Olympic_Events!A:A,B6)+IF(OR(B6="HOST_USA",B6="TRIPARTITE"),1,0)&gt;0,COUNTIF(Competitions!A:A,D6)+COUNTIF(Ranking_Systems!A:A,D6)+COUNTIF(Olympic_Events!A:A,D6)&gt;0),"OK","BROKEN")</f>
        <v>OK</v>
      </c>
    </row>
    <row r="7" customFormat="false" ht="15" hidden="false" customHeight="false" outlineLevel="0" collapsed="false">
      <c r="A7" s="4" t="s">
        <v>526</v>
      </c>
      <c r="B7" s="4" t="s">
        <v>150</v>
      </c>
      <c r="C7" s="4" t="s">
        <v>515</v>
      </c>
      <c r="D7" s="4" t="s">
        <v>523</v>
      </c>
      <c r="E7" s="4" t="s">
        <v>517</v>
      </c>
      <c r="F7" s="4" t="s">
        <v>518</v>
      </c>
      <c r="G7" s="4"/>
      <c r="H7" s="11"/>
      <c r="I7" s="5" t="s">
        <v>524</v>
      </c>
      <c r="J7" s="5"/>
      <c r="K7" s="5"/>
      <c r="L7" s="5"/>
      <c r="M7" s="5"/>
      <c r="N7" s="4" t="n">
        <v>0</v>
      </c>
      <c r="O7" s="4"/>
      <c r="P7" s="4" t="s">
        <v>146</v>
      </c>
      <c r="Q7" s="4" t="s">
        <v>138</v>
      </c>
      <c r="R7" s="4"/>
      <c r="S7" s="4"/>
      <c r="T7" s="4" t="str">
        <f aca="false">IF(AND(COUNTIF(Competitions!A:A,B7)+COUNTIF(Ranking_Systems!A:A,B7)+COUNTIF(Olympic_Events!A:A,B7)+IF(OR(B7="HOST_USA",B7="TRIPARTITE"),1,0)&gt;0,COUNTIF(Competitions!A:A,D7)+COUNTIF(Ranking_Systems!A:A,D7)+COUNTIF(Olympic_Events!A:A,D7)&gt;0),"OK","BROKEN")</f>
        <v>OK</v>
      </c>
    </row>
    <row r="8" customFormat="false" ht="15" hidden="false" customHeight="false" outlineLevel="0" collapsed="false">
      <c r="A8" s="4" t="s">
        <v>527</v>
      </c>
      <c r="B8" s="4" t="s">
        <v>152</v>
      </c>
      <c r="C8" s="4" t="s">
        <v>515</v>
      </c>
      <c r="D8" s="4" t="s">
        <v>523</v>
      </c>
      <c r="E8" s="4" t="s">
        <v>517</v>
      </c>
      <c r="F8" s="4" t="s">
        <v>518</v>
      </c>
      <c r="G8" s="4"/>
      <c r="H8" s="11"/>
      <c r="I8" s="5" t="s">
        <v>524</v>
      </c>
      <c r="J8" s="5"/>
      <c r="K8" s="5"/>
      <c r="L8" s="5"/>
      <c r="M8" s="5"/>
      <c r="N8" s="4" t="n">
        <v>0</v>
      </c>
      <c r="O8" s="4"/>
      <c r="P8" s="4" t="s">
        <v>146</v>
      </c>
      <c r="Q8" s="4" t="s">
        <v>138</v>
      </c>
      <c r="R8" s="4"/>
      <c r="S8" s="4"/>
      <c r="T8" s="4" t="str">
        <f aca="false">IF(AND(COUNTIF(Competitions!A:A,B8)+COUNTIF(Ranking_Systems!A:A,B8)+COUNTIF(Olympic_Events!A:A,B8)+IF(OR(B8="HOST_USA",B8="TRIPARTITE"),1,0)&gt;0,COUNTIF(Competitions!A:A,D8)+COUNTIF(Ranking_Systems!A:A,D8)+COUNTIF(Olympic_Events!A:A,D8)&gt;0),"OK","BROKEN")</f>
        <v>OK</v>
      </c>
    </row>
    <row r="9" customFormat="false" ht="15" hidden="false" customHeight="false" outlineLevel="0" collapsed="false">
      <c r="A9" s="4" t="s">
        <v>528</v>
      </c>
      <c r="B9" s="4" t="s">
        <v>154</v>
      </c>
      <c r="C9" s="4" t="s">
        <v>515</v>
      </c>
      <c r="D9" s="4" t="s">
        <v>523</v>
      </c>
      <c r="E9" s="4" t="s">
        <v>517</v>
      </c>
      <c r="F9" s="4" t="s">
        <v>518</v>
      </c>
      <c r="G9" s="4"/>
      <c r="H9" s="11"/>
      <c r="I9" s="5" t="s">
        <v>524</v>
      </c>
      <c r="J9" s="5"/>
      <c r="K9" s="5"/>
      <c r="L9" s="5"/>
      <c r="M9" s="5"/>
      <c r="N9" s="4" t="n">
        <v>0</v>
      </c>
      <c r="O9" s="4"/>
      <c r="P9" s="4" t="s">
        <v>146</v>
      </c>
      <c r="Q9" s="4" t="s">
        <v>138</v>
      </c>
      <c r="R9" s="4"/>
      <c r="S9" s="4"/>
      <c r="T9" s="4" t="str">
        <f aca="false">IF(AND(COUNTIF(Competitions!A:A,B9)+COUNTIF(Ranking_Systems!A:A,B9)+COUNTIF(Olympic_Events!A:A,B9)+IF(OR(B9="HOST_USA",B9="TRIPARTITE"),1,0)&gt;0,COUNTIF(Competitions!A:A,D9)+COUNTIF(Ranking_Systems!A:A,D9)+COUNTIF(Olympic_Events!A:A,D9)&gt;0),"OK","BROKEN")</f>
        <v>OK</v>
      </c>
    </row>
    <row r="10" customFormat="false" ht="23.85" hidden="false" customHeight="false" outlineLevel="0" collapsed="false">
      <c r="A10" s="4" t="s">
        <v>529</v>
      </c>
      <c r="B10" s="4" t="s">
        <v>516</v>
      </c>
      <c r="C10" s="4" t="s">
        <v>517</v>
      </c>
      <c r="D10" s="4" t="s">
        <v>62</v>
      </c>
      <c r="E10" s="4" t="s">
        <v>530</v>
      </c>
      <c r="F10" s="4" t="s">
        <v>531</v>
      </c>
      <c r="G10" s="4" t="n">
        <v>4</v>
      </c>
      <c r="H10" s="11"/>
      <c r="I10" s="5" t="s">
        <v>532</v>
      </c>
      <c r="J10" s="5"/>
      <c r="K10" s="5"/>
      <c r="L10" s="5"/>
      <c r="M10" s="5"/>
      <c r="N10" s="4" t="n">
        <v>10</v>
      </c>
      <c r="O10" s="4"/>
      <c r="P10" s="4" t="s">
        <v>137</v>
      </c>
      <c r="Q10" s="4" t="s">
        <v>138</v>
      </c>
      <c r="R10" s="4"/>
      <c r="S10" s="4"/>
      <c r="T10" s="4" t="str">
        <f aca="false">IF(AND(COUNTIF(Competitions!A:A,B10)+COUNTIF(Ranking_Systems!A:A,B10)+COUNTIF(Olympic_Events!A:A,B10)+IF(OR(B10="HOST_USA",B10="TRIPARTITE"),1,0)&gt;0,COUNTIF(Competitions!A:A,D10)+COUNTIF(Ranking_Systems!A:A,D10)+COUNTIF(Olympic_Events!A:A,D10)&gt;0),"OK","BROKEN")</f>
        <v>OK</v>
      </c>
    </row>
    <row r="11" customFormat="false" ht="23.85" hidden="false" customHeight="false" outlineLevel="0" collapsed="false">
      <c r="A11" s="4" t="s">
        <v>533</v>
      </c>
      <c r="B11" s="4" t="s">
        <v>516</v>
      </c>
      <c r="C11" s="4" t="s">
        <v>517</v>
      </c>
      <c r="D11" s="4" t="s">
        <v>62</v>
      </c>
      <c r="E11" s="4" t="s">
        <v>530</v>
      </c>
      <c r="F11" s="4" t="s">
        <v>534</v>
      </c>
      <c r="G11" s="4" t="n">
        <v>4</v>
      </c>
      <c r="H11" s="11"/>
      <c r="I11" s="5" t="s">
        <v>535</v>
      </c>
      <c r="J11" s="5"/>
      <c r="K11" s="5"/>
      <c r="L11" s="5"/>
      <c r="M11" s="5" t="s">
        <v>536</v>
      </c>
      <c r="N11" s="4" t="n">
        <v>20</v>
      </c>
      <c r="O11" s="4"/>
      <c r="P11" s="4" t="s">
        <v>137</v>
      </c>
      <c r="Q11" s="4" t="s">
        <v>138</v>
      </c>
      <c r="R11" s="4"/>
      <c r="S11" s="4"/>
      <c r="T11" s="4" t="str">
        <f aca="false">IF(AND(COUNTIF(Competitions!A:A,B11)+COUNTIF(Ranking_Systems!A:A,B11)+COUNTIF(Olympic_Events!A:A,B11)+IF(OR(B11="HOST_USA",B11="TRIPARTITE"),1,0)&gt;0,COUNTIF(Competitions!A:A,D11)+COUNTIF(Ranking_Systems!A:A,D11)+COUNTIF(Olympic_Events!A:A,D11)&gt;0),"OK","BROKEN")</f>
        <v>OK</v>
      </c>
    </row>
    <row r="12" customFormat="false" ht="35.05" hidden="false" customHeight="false" outlineLevel="0" collapsed="false">
      <c r="A12" s="4" t="s">
        <v>537</v>
      </c>
      <c r="B12" s="4" t="s">
        <v>523</v>
      </c>
      <c r="C12" s="4" t="s">
        <v>517</v>
      </c>
      <c r="D12" s="4" t="s">
        <v>55</v>
      </c>
      <c r="E12" s="4" t="s">
        <v>530</v>
      </c>
      <c r="F12" s="4" t="s">
        <v>531</v>
      </c>
      <c r="G12" s="4" t="n">
        <v>2</v>
      </c>
      <c r="H12" s="11"/>
      <c r="I12" s="5" t="s">
        <v>538</v>
      </c>
      <c r="J12" s="5"/>
      <c r="K12" s="5"/>
      <c r="L12" s="5" t="s">
        <v>539</v>
      </c>
      <c r="M12" s="5" t="s">
        <v>540</v>
      </c>
      <c r="N12" s="4" t="n">
        <v>30</v>
      </c>
      <c r="O12" s="4"/>
      <c r="P12" s="4" t="s">
        <v>146</v>
      </c>
      <c r="Q12" s="4" t="s">
        <v>138</v>
      </c>
      <c r="R12" s="4"/>
      <c r="S12" s="4"/>
      <c r="T12" s="4" t="str">
        <f aca="false">IF(AND(COUNTIF(Competitions!A:A,B12)+COUNTIF(Ranking_Systems!A:A,B12)+COUNTIF(Olympic_Events!A:A,B12)+IF(OR(B12="HOST_USA",B12="TRIPARTITE"),1,0)&gt;0,COUNTIF(Competitions!A:A,D12)+COUNTIF(Ranking_Systems!A:A,D12)+COUNTIF(Olympic_Events!A:A,D12)&gt;0),"OK","BROKEN")</f>
        <v>OK</v>
      </c>
    </row>
    <row r="13" customFormat="false" ht="35.05" hidden="false" customHeight="false" outlineLevel="0" collapsed="false">
      <c r="A13" s="4" t="s">
        <v>541</v>
      </c>
      <c r="B13" s="4" t="s">
        <v>523</v>
      </c>
      <c r="C13" s="4" t="s">
        <v>517</v>
      </c>
      <c r="D13" s="4" t="s">
        <v>55</v>
      </c>
      <c r="E13" s="4" t="s">
        <v>530</v>
      </c>
      <c r="F13" s="4" t="s">
        <v>534</v>
      </c>
      <c r="G13" s="4" t="n">
        <v>4</v>
      </c>
      <c r="H13" s="11"/>
      <c r="I13" s="5" t="s">
        <v>542</v>
      </c>
      <c r="J13" s="5"/>
      <c r="K13" s="5" t="s">
        <v>543</v>
      </c>
      <c r="L13" s="5" t="s">
        <v>539</v>
      </c>
      <c r="M13" s="5" t="s">
        <v>544</v>
      </c>
      <c r="N13" s="4" t="n">
        <v>40</v>
      </c>
      <c r="O13" s="4"/>
      <c r="P13" s="4" t="s">
        <v>146</v>
      </c>
      <c r="Q13" s="4" t="s">
        <v>138</v>
      </c>
      <c r="R13" s="4"/>
      <c r="S13" s="4"/>
      <c r="T13" s="4" t="str">
        <f aca="false">IF(AND(COUNTIF(Competitions!A:A,B13)+COUNTIF(Ranking_Systems!A:A,B13)+COUNTIF(Olympic_Events!A:A,B13)+IF(OR(B13="HOST_USA",B13="TRIPARTITE"),1,0)&gt;0,COUNTIF(Competitions!A:A,D13)+COUNTIF(Ranking_Systems!A:A,D13)+COUNTIF(Olympic_Events!A:A,D13)&gt;0),"OK","BROKEN")</f>
        <v>OK</v>
      </c>
    </row>
    <row r="14" customFormat="false" ht="23.85" hidden="false" customHeight="false" outlineLevel="0" collapsed="false">
      <c r="A14" s="4" t="s">
        <v>545</v>
      </c>
      <c r="B14" s="4" t="s">
        <v>156</v>
      </c>
      <c r="C14" s="4" t="s">
        <v>515</v>
      </c>
      <c r="D14" s="4" t="s">
        <v>55</v>
      </c>
      <c r="E14" s="4" t="s">
        <v>530</v>
      </c>
      <c r="F14" s="4" t="s">
        <v>546</v>
      </c>
      <c r="G14" s="4" t="n">
        <v>1</v>
      </c>
      <c r="H14" s="11"/>
      <c r="I14" s="5" t="s">
        <v>547</v>
      </c>
      <c r="J14" s="5"/>
      <c r="K14" s="5" t="s">
        <v>543</v>
      </c>
      <c r="L14" s="5"/>
      <c r="M14" s="5" t="s">
        <v>548</v>
      </c>
      <c r="N14" s="4" t="n">
        <v>50</v>
      </c>
      <c r="O14" s="4"/>
      <c r="P14" s="4" t="s">
        <v>146</v>
      </c>
      <c r="Q14" s="4" t="s">
        <v>138</v>
      </c>
      <c r="R14" s="4"/>
      <c r="S14" s="4"/>
      <c r="T14" s="4" t="str">
        <f aca="false">IF(AND(COUNTIF(Competitions!A:A,B14)+COUNTIF(Ranking_Systems!A:A,B14)+COUNTIF(Olympic_Events!A:A,B14)+IF(OR(B14="HOST_USA",B14="TRIPARTITE"),1,0)&gt;0,COUNTIF(Competitions!A:A,D14)+COUNTIF(Ranking_Systems!A:A,D14)+COUNTIF(Olympic_Events!A:A,D14)&gt;0),"OK","BROKEN")</f>
        <v>OK</v>
      </c>
    </row>
    <row r="15" customFormat="false" ht="23.85" hidden="false" customHeight="false" outlineLevel="0" collapsed="false">
      <c r="A15" s="4" t="s">
        <v>549</v>
      </c>
      <c r="B15" s="4" t="s">
        <v>163</v>
      </c>
      <c r="C15" s="4" t="s">
        <v>515</v>
      </c>
      <c r="D15" s="4" t="s">
        <v>55</v>
      </c>
      <c r="E15" s="4" t="s">
        <v>530</v>
      </c>
      <c r="F15" s="4" t="s">
        <v>546</v>
      </c>
      <c r="G15" s="4" t="n">
        <v>1</v>
      </c>
      <c r="H15" s="11"/>
      <c r="I15" s="5" t="s">
        <v>550</v>
      </c>
      <c r="J15" s="5"/>
      <c r="K15" s="5" t="s">
        <v>543</v>
      </c>
      <c r="L15" s="5"/>
      <c r="M15" s="5" t="s">
        <v>548</v>
      </c>
      <c r="N15" s="4" t="n">
        <v>50</v>
      </c>
      <c r="O15" s="4"/>
      <c r="P15" s="4" t="s">
        <v>146</v>
      </c>
      <c r="Q15" s="4" t="s">
        <v>138</v>
      </c>
      <c r="R15" s="4"/>
      <c r="S15" s="4"/>
      <c r="T15" s="4" t="str">
        <f aca="false">IF(AND(COUNTIF(Competitions!A:A,B15)+COUNTIF(Ranking_Systems!A:A,B15)+COUNTIF(Olympic_Events!A:A,B15)+IF(OR(B15="HOST_USA",B15="TRIPARTITE"),1,0)&gt;0,COUNTIF(Competitions!A:A,D15)+COUNTIF(Ranking_Systems!A:A,D15)+COUNTIF(Olympic_Events!A:A,D15)&gt;0),"OK","BROKEN")</f>
        <v>OK</v>
      </c>
    </row>
    <row r="16" customFormat="false" ht="23.85" hidden="false" customHeight="false" outlineLevel="0" collapsed="false">
      <c r="A16" s="4" t="s">
        <v>551</v>
      </c>
      <c r="B16" s="4" t="s">
        <v>165</v>
      </c>
      <c r="C16" s="4" t="s">
        <v>515</v>
      </c>
      <c r="D16" s="4" t="s">
        <v>55</v>
      </c>
      <c r="E16" s="4" t="s">
        <v>530</v>
      </c>
      <c r="F16" s="4" t="s">
        <v>546</v>
      </c>
      <c r="G16" s="4" t="n">
        <v>1</v>
      </c>
      <c r="H16" s="11"/>
      <c r="I16" s="5" t="s">
        <v>552</v>
      </c>
      <c r="J16" s="5"/>
      <c r="K16" s="5" t="s">
        <v>543</v>
      </c>
      <c r="L16" s="5"/>
      <c r="M16" s="5" t="s">
        <v>548</v>
      </c>
      <c r="N16" s="4" t="n">
        <v>50</v>
      </c>
      <c r="O16" s="4"/>
      <c r="P16" s="4" t="s">
        <v>146</v>
      </c>
      <c r="Q16" s="4" t="s">
        <v>138</v>
      </c>
      <c r="R16" s="4"/>
      <c r="S16" s="4"/>
      <c r="T16" s="4" t="str">
        <f aca="false">IF(AND(COUNTIF(Competitions!A:A,B16)+COUNTIF(Ranking_Systems!A:A,B16)+COUNTIF(Olympic_Events!A:A,B16)+IF(OR(B16="HOST_USA",B16="TRIPARTITE"),1,0)&gt;0,COUNTIF(Competitions!A:A,D16)+COUNTIF(Ranking_Systems!A:A,D16)+COUNTIF(Olympic_Events!A:A,D16)&gt;0),"OK","BROKEN")</f>
        <v>OK</v>
      </c>
    </row>
    <row r="17" customFormat="false" ht="23.85" hidden="false" customHeight="false" outlineLevel="0" collapsed="false">
      <c r="A17" s="4" t="s">
        <v>553</v>
      </c>
      <c r="B17" s="4" t="s">
        <v>167</v>
      </c>
      <c r="C17" s="4" t="s">
        <v>515</v>
      </c>
      <c r="D17" s="4" t="s">
        <v>55</v>
      </c>
      <c r="E17" s="4" t="s">
        <v>530</v>
      </c>
      <c r="F17" s="4" t="s">
        <v>546</v>
      </c>
      <c r="G17" s="4" t="n">
        <v>1</v>
      </c>
      <c r="H17" s="11"/>
      <c r="I17" s="5" t="s">
        <v>554</v>
      </c>
      <c r="J17" s="5"/>
      <c r="K17" s="5" t="s">
        <v>543</v>
      </c>
      <c r="L17" s="5"/>
      <c r="M17" s="5" t="s">
        <v>548</v>
      </c>
      <c r="N17" s="4" t="n">
        <v>50</v>
      </c>
      <c r="O17" s="4"/>
      <c r="P17" s="4" t="s">
        <v>146</v>
      </c>
      <c r="Q17" s="4" t="s">
        <v>138</v>
      </c>
      <c r="R17" s="4"/>
      <c r="S17" s="4"/>
      <c r="T17" s="4" t="str">
        <f aca="false">IF(AND(COUNTIF(Competitions!A:A,B17)+COUNTIF(Ranking_Systems!A:A,B17)+COUNTIF(Olympic_Events!A:A,B17)+IF(OR(B17="HOST_USA",B17="TRIPARTITE"),1,0)&gt;0,COUNTIF(Competitions!A:A,D17)+COUNTIF(Ranking_Systems!A:A,D17)+COUNTIF(Olympic_Events!A:A,D17)&gt;0),"OK","BROKEN")</f>
        <v>OK</v>
      </c>
    </row>
    <row r="18" customFormat="false" ht="23.85" hidden="false" customHeight="false" outlineLevel="0" collapsed="false">
      <c r="A18" s="4" t="s">
        <v>555</v>
      </c>
      <c r="B18" s="4" t="s">
        <v>516</v>
      </c>
      <c r="C18" s="4" t="s">
        <v>517</v>
      </c>
      <c r="D18" s="4" t="s">
        <v>68</v>
      </c>
      <c r="E18" s="4" t="s">
        <v>530</v>
      </c>
      <c r="F18" s="4" t="s">
        <v>531</v>
      </c>
      <c r="G18" s="4" t="n">
        <v>4</v>
      </c>
      <c r="H18" s="11"/>
      <c r="I18" s="5" t="s">
        <v>532</v>
      </c>
      <c r="J18" s="5"/>
      <c r="K18" s="5"/>
      <c r="L18" s="5"/>
      <c r="M18" s="5"/>
      <c r="N18" s="4" t="n">
        <v>10</v>
      </c>
      <c r="O18" s="4"/>
      <c r="P18" s="4" t="s">
        <v>137</v>
      </c>
      <c r="Q18" s="4" t="s">
        <v>138</v>
      </c>
      <c r="R18" s="4"/>
      <c r="S18" s="4"/>
      <c r="T18" s="4" t="str">
        <f aca="false">IF(AND(COUNTIF(Competitions!A:A,B18)+COUNTIF(Ranking_Systems!A:A,B18)+COUNTIF(Olympic_Events!A:A,B18)+IF(OR(B18="HOST_USA",B18="TRIPARTITE"),1,0)&gt;0,COUNTIF(Competitions!A:A,D18)+COUNTIF(Ranking_Systems!A:A,D18)+COUNTIF(Olympic_Events!A:A,D18)&gt;0),"OK","BROKEN")</f>
        <v>OK</v>
      </c>
    </row>
    <row r="19" customFormat="false" ht="23.85" hidden="false" customHeight="false" outlineLevel="0" collapsed="false">
      <c r="A19" s="4" t="s">
        <v>556</v>
      </c>
      <c r="B19" s="4" t="s">
        <v>516</v>
      </c>
      <c r="C19" s="4" t="s">
        <v>517</v>
      </c>
      <c r="D19" s="4" t="s">
        <v>68</v>
      </c>
      <c r="E19" s="4" t="s">
        <v>530</v>
      </c>
      <c r="F19" s="4" t="s">
        <v>534</v>
      </c>
      <c r="G19" s="4" t="n">
        <v>4</v>
      </c>
      <c r="H19" s="11"/>
      <c r="I19" s="5" t="s">
        <v>535</v>
      </c>
      <c r="J19" s="5"/>
      <c r="K19" s="5"/>
      <c r="L19" s="5"/>
      <c r="M19" s="5" t="s">
        <v>536</v>
      </c>
      <c r="N19" s="4" t="n">
        <v>20</v>
      </c>
      <c r="O19" s="4"/>
      <c r="P19" s="4" t="s">
        <v>137</v>
      </c>
      <c r="Q19" s="4" t="s">
        <v>138</v>
      </c>
      <c r="R19" s="4"/>
      <c r="S19" s="4"/>
      <c r="T19" s="4" t="str">
        <f aca="false">IF(AND(COUNTIF(Competitions!A:A,B19)+COUNTIF(Ranking_Systems!A:A,B19)+COUNTIF(Olympic_Events!A:A,B19)+IF(OR(B19="HOST_USA",B19="TRIPARTITE"),1,0)&gt;0,COUNTIF(Competitions!A:A,D19)+COUNTIF(Ranking_Systems!A:A,D19)+COUNTIF(Olympic_Events!A:A,D19)&gt;0),"OK","BROKEN")</f>
        <v>OK</v>
      </c>
    </row>
    <row r="20" customFormat="false" ht="35.05" hidden="false" customHeight="false" outlineLevel="0" collapsed="false">
      <c r="A20" s="4" t="s">
        <v>557</v>
      </c>
      <c r="B20" s="4" t="s">
        <v>523</v>
      </c>
      <c r="C20" s="4" t="s">
        <v>517</v>
      </c>
      <c r="D20" s="4" t="s">
        <v>66</v>
      </c>
      <c r="E20" s="4" t="s">
        <v>530</v>
      </c>
      <c r="F20" s="4" t="s">
        <v>531</v>
      </c>
      <c r="G20" s="4" t="n">
        <v>2</v>
      </c>
      <c r="H20" s="11"/>
      <c r="I20" s="5" t="s">
        <v>538</v>
      </c>
      <c r="J20" s="5"/>
      <c r="K20" s="5"/>
      <c r="L20" s="5" t="s">
        <v>539</v>
      </c>
      <c r="M20" s="5" t="s">
        <v>540</v>
      </c>
      <c r="N20" s="4" t="n">
        <v>30</v>
      </c>
      <c r="O20" s="4"/>
      <c r="P20" s="4" t="s">
        <v>146</v>
      </c>
      <c r="Q20" s="4" t="s">
        <v>138</v>
      </c>
      <c r="R20" s="4"/>
      <c r="S20" s="4"/>
      <c r="T20" s="4" t="str">
        <f aca="false">IF(AND(COUNTIF(Competitions!A:A,B20)+COUNTIF(Ranking_Systems!A:A,B20)+COUNTIF(Olympic_Events!A:A,B20)+IF(OR(B20="HOST_USA",B20="TRIPARTITE"),1,0)&gt;0,COUNTIF(Competitions!A:A,D20)+COUNTIF(Ranking_Systems!A:A,D20)+COUNTIF(Olympic_Events!A:A,D20)&gt;0),"OK","BROKEN")</f>
        <v>OK</v>
      </c>
    </row>
    <row r="21" customFormat="false" ht="35.05" hidden="false" customHeight="false" outlineLevel="0" collapsed="false">
      <c r="A21" s="4" t="s">
        <v>558</v>
      </c>
      <c r="B21" s="4" t="s">
        <v>523</v>
      </c>
      <c r="C21" s="4" t="s">
        <v>517</v>
      </c>
      <c r="D21" s="4" t="s">
        <v>66</v>
      </c>
      <c r="E21" s="4" t="s">
        <v>530</v>
      </c>
      <c r="F21" s="4" t="s">
        <v>534</v>
      </c>
      <c r="G21" s="4" t="n">
        <v>4</v>
      </c>
      <c r="H21" s="11"/>
      <c r="I21" s="5" t="s">
        <v>542</v>
      </c>
      <c r="J21" s="5"/>
      <c r="K21" s="5" t="s">
        <v>543</v>
      </c>
      <c r="L21" s="5" t="s">
        <v>539</v>
      </c>
      <c r="M21" s="5" t="s">
        <v>544</v>
      </c>
      <c r="N21" s="4" t="n">
        <v>40</v>
      </c>
      <c r="O21" s="4"/>
      <c r="P21" s="4" t="s">
        <v>146</v>
      </c>
      <c r="Q21" s="4" t="s">
        <v>138</v>
      </c>
      <c r="R21" s="4"/>
      <c r="S21" s="4"/>
      <c r="T21" s="4" t="str">
        <f aca="false">IF(AND(COUNTIF(Competitions!A:A,B21)+COUNTIF(Ranking_Systems!A:A,B21)+COUNTIF(Olympic_Events!A:A,B21)+IF(OR(B21="HOST_USA",B21="TRIPARTITE"),1,0)&gt;0,COUNTIF(Competitions!A:A,D21)+COUNTIF(Ranking_Systems!A:A,D21)+COUNTIF(Olympic_Events!A:A,D21)&gt;0),"OK","BROKEN")</f>
        <v>OK</v>
      </c>
    </row>
    <row r="22" customFormat="false" ht="23.85" hidden="false" customHeight="false" outlineLevel="0" collapsed="false">
      <c r="A22" s="4" t="s">
        <v>559</v>
      </c>
      <c r="B22" s="4" t="s">
        <v>156</v>
      </c>
      <c r="C22" s="4" t="s">
        <v>515</v>
      </c>
      <c r="D22" s="4" t="s">
        <v>66</v>
      </c>
      <c r="E22" s="4" t="s">
        <v>530</v>
      </c>
      <c r="F22" s="4" t="s">
        <v>546</v>
      </c>
      <c r="G22" s="4" t="n">
        <v>1</v>
      </c>
      <c r="H22" s="11"/>
      <c r="I22" s="5" t="s">
        <v>547</v>
      </c>
      <c r="J22" s="5"/>
      <c r="K22" s="5" t="s">
        <v>543</v>
      </c>
      <c r="L22" s="5"/>
      <c r="M22" s="5" t="s">
        <v>548</v>
      </c>
      <c r="N22" s="4" t="n">
        <v>50</v>
      </c>
      <c r="O22" s="4"/>
      <c r="P22" s="4" t="s">
        <v>146</v>
      </c>
      <c r="Q22" s="4" t="s">
        <v>138</v>
      </c>
      <c r="R22" s="4"/>
      <c r="S22" s="4"/>
      <c r="T22" s="4" t="str">
        <f aca="false">IF(AND(COUNTIF(Competitions!A:A,B22)+COUNTIF(Ranking_Systems!A:A,B22)+COUNTIF(Olympic_Events!A:A,B22)+IF(OR(B22="HOST_USA",B22="TRIPARTITE"),1,0)&gt;0,COUNTIF(Competitions!A:A,D22)+COUNTIF(Ranking_Systems!A:A,D22)+COUNTIF(Olympic_Events!A:A,D22)&gt;0),"OK","BROKEN")</f>
        <v>OK</v>
      </c>
    </row>
    <row r="23" customFormat="false" ht="23.85" hidden="false" customHeight="false" outlineLevel="0" collapsed="false">
      <c r="A23" s="4" t="s">
        <v>560</v>
      </c>
      <c r="B23" s="4" t="s">
        <v>163</v>
      </c>
      <c r="C23" s="4" t="s">
        <v>515</v>
      </c>
      <c r="D23" s="4" t="s">
        <v>66</v>
      </c>
      <c r="E23" s="4" t="s">
        <v>530</v>
      </c>
      <c r="F23" s="4" t="s">
        <v>546</v>
      </c>
      <c r="G23" s="4" t="n">
        <v>1</v>
      </c>
      <c r="H23" s="11"/>
      <c r="I23" s="5" t="s">
        <v>550</v>
      </c>
      <c r="J23" s="5"/>
      <c r="K23" s="5" t="s">
        <v>543</v>
      </c>
      <c r="L23" s="5"/>
      <c r="M23" s="5" t="s">
        <v>548</v>
      </c>
      <c r="N23" s="4" t="n">
        <v>50</v>
      </c>
      <c r="O23" s="4"/>
      <c r="P23" s="4" t="s">
        <v>146</v>
      </c>
      <c r="Q23" s="4" t="s">
        <v>138</v>
      </c>
      <c r="R23" s="4"/>
      <c r="S23" s="4"/>
      <c r="T23" s="4" t="str">
        <f aca="false">IF(AND(COUNTIF(Competitions!A:A,B23)+COUNTIF(Ranking_Systems!A:A,B23)+COUNTIF(Olympic_Events!A:A,B23)+IF(OR(B23="HOST_USA",B23="TRIPARTITE"),1,0)&gt;0,COUNTIF(Competitions!A:A,D23)+COUNTIF(Ranking_Systems!A:A,D23)+COUNTIF(Olympic_Events!A:A,D23)&gt;0),"OK","BROKEN")</f>
        <v>OK</v>
      </c>
    </row>
    <row r="24" customFormat="false" ht="23.85" hidden="false" customHeight="false" outlineLevel="0" collapsed="false">
      <c r="A24" s="4" t="s">
        <v>561</v>
      </c>
      <c r="B24" s="4" t="s">
        <v>165</v>
      </c>
      <c r="C24" s="4" t="s">
        <v>515</v>
      </c>
      <c r="D24" s="4" t="s">
        <v>66</v>
      </c>
      <c r="E24" s="4" t="s">
        <v>530</v>
      </c>
      <c r="F24" s="4" t="s">
        <v>546</v>
      </c>
      <c r="G24" s="4" t="n">
        <v>1</v>
      </c>
      <c r="H24" s="11"/>
      <c r="I24" s="5" t="s">
        <v>552</v>
      </c>
      <c r="J24" s="5"/>
      <c r="K24" s="5" t="s">
        <v>543</v>
      </c>
      <c r="L24" s="5"/>
      <c r="M24" s="5" t="s">
        <v>548</v>
      </c>
      <c r="N24" s="4" t="n">
        <v>50</v>
      </c>
      <c r="O24" s="4"/>
      <c r="P24" s="4" t="s">
        <v>146</v>
      </c>
      <c r="Q24" s="4" t="s">
        <v>138</v>
      </c>
      <c r="R24" s="4"/>
      <c r="S24" s="4"/>
      <c r="T24" s="4" t="str">
        <f aca="false">IF(AND(COUNTIF(Competitions!A:A,B24)+COUNTIF(Ranking_Systems!A:A,B24)+COUNTIF(Olympic_Events!A:A,B24)+IF(OR(B24="HOST_USA",B24="TRIPARTITE"),1,0)&gt;0,COUNTIF(Competitions!A:A,D24)+COUNTIF(Ranking_Systems!A:A,D24)+COUNTIF(Olympic_Events!A:A,D24)&gt;0),"OK","BROKEN")</f>
        <v>OK</v>
      </c>
    </row>
    <row r="25" customFormat="false" ht="23.85" hidden="false" customHeight="false" outlineLevel="0" collapsed="false">
      <c r="A25" s="4" t="s">
        <v>562</v>
      </c>
      <c r="B25" s="4" t="s">
        <v>167</v>
      </c>
      <c r="C25" s="4" t="s">
        <v>515</v>
      </c>
      <c r="D25" s="4" t="s">
        <v>66</v>
      </c>
      <c r="E25" s="4" t="s">
        <v>530</v>
      </c>
      <c r="F25" s="4" t="s">
        <v>546</v>
      </c>
      <c r="G25" s="4" t="n">
        <v>1</v>
      </c>
      <c r="H25" s="11"/>
      <c r="I25" s="5" t="s">
        <v>554</v>
      </c>
      <c r="J25" s="5"/>
      <c r="K25" s="5" t="s">
        <v>543</v>
      </c>
      <c r="L25" s="5"/>
      <c r="M25" s="5" t="s">
        <v>548</v>
      </c>
      <c r="N25" s="4" t="n">
        <v>50</v>
      </c>
      <c r="O25" s="4"/>
      <c r="P25" s="4" t="s">
        <v>146</v>
      </c>
      <c r="Q25" s="4" t="s">
        <v>138</v>
      </c>
      <c r="R25" s="4"/>
      <c r="S25" s="4"/>
      <c r="T25" s="4" t="str">
        <f aca="false">IF(AND(COUNTIF(Competitions!A:A,B25)+COUNTIF(Ranking_Systems!A:A,B25)+COUNTIF(Olympic_Events!A:A,B25)+IF(OR(B25="HOST_USA",B25="TRIPARTITE"),1,0)&gt;0,COUNTIF(Competitions!A:A,D25)+COUNTIF(Ranking_Systems!A:A,D25)+COUNTIF(Olympic_Events!A:A,D25)&gt;0),"OK","BROKEN")</f>
        <v>OK</v>
      </c>
    </row>
    <row r="26" customFormat="false" ht="23.85" hidden="false" customHeight="false" outlineLevel="0" collapsed="false">
      <c r="A26" s="4" t="s">
        <v>563</v>
      </c>
      <c r="B26" s="4" t="s">
        <v>516</v>
      </c>
      <c r="C26" s="4" t="s">
        <v>517</v>
      </c>
      <c r="D26" s="4" t="s">
        <v>72</v>
      </c>
      <c r="E26" s="4" t="s">
        <v>530</v>
      </c>
      <c r="F26" s="4" t="s">
        <v>531</v>
      </c>
      <c r="G26" s="4" t="n">
        <v>4</v>
      </c>
      <c r="H26" s="11"/>
      <c r="I26" s="5" t="s">
        <v>532</v>
      </c>
      <c r="J26" s="5"/>
      <c r="K26" s="5"/>
      <c r="L26" s="5"/>
      <c r="M26" s="5"/>
      <c r="N26" s="4" t="n">
        <v>10</v>
      </c>
      <c r="O26" s="4"/>
      <c r="P26" s="4" t="s">
        <v>137</v>
      </c>
      <c r="Q26" s="4" t="s">
        <v>138</v>
      </c>
      <c r="R26" s="4"/>
      <c r="S26" s="4"/>
      <c r="T26" s="4" t="str">
        <f aca="false">IF(AND(COUNTIF(Competitions!A:A,B26)+COUNTIF(Ranking_Systems!A:A,B26)+COUNTIF(Olympic_Events!A:A,B26)+IF(OR(B26="HOST_USA",B26="TRIPARTITE"),1,0)&gt;0,COUNTIF(Competitions!A:A,D26)+COUNTIF(Ranking_Systems!A:A,D26)+COUNTIF(Olympic_Events!A:A,D26)&gt;0),"OK","BROKEN")</f>
        <v>OK</v>
      </c>
    </row>
    <row r="27" customFormat="false" ht="23.85" hidden="false" customHeight="false" outlineLevel="0" collapsed="false">
      <c r="A27" s="4" t="s">
        <v>564</v>
      </c>
      <c r="B27" s="4" t="s">
        <v>516</v>
      </c>
      <c r="C27" s="4" t="s">
        <v>517</v>
      </c>
      <c r="D27" s="4" t="s">
        <v>72</v>
      </c>
      <c r="E27" s="4" t="s">
        <v>530</v>
      </c>
      <c r="F27" s="4" t="s">
        <v>534</v>
      </c>
      <c r="G27" s="4" t="n">
        <v>4</v>
      </c>
      <c r="H27" s="11"/>
      <c r="I27" s="5" t="s">
        <v>535</v>
      </c>
      <c r="J27" s="5"/>
      <c r="K27" s="5"/>
      <c r="L27" s="5"/>
      <c r="M27" s="5" t="s">
        <v>536</v>
      </c>
      <c r="N27" s="4" t="n">
        <v>20</v>
      </c>
      <c r="O27" s="4"/>
      <c r="P27" s="4" t="s">
        <v>137</v>
      </c>
      <c r="Q27" s="4" t="s">
        <v>138</v>
      </c>
      <c r="R27" s="4"/>
      <c r="S27" s="4"/>
      <c r="T27" s="4" t="str">
        <f aca="false">IF(AND(COUNTIF(Competitions!A:A,B27)+COUNTIF(Ranking_Systems!A:A,B27)+COUNTIF(Olympic_Events!A:A,B27)+IF(OR(B27="HOST_USA",B27="TRIPARTITE"),1,0)&gt;0,COUNTIF(Competitions!A:A,D27)+COUNTIF(Ranking_Systems!A:A,D27)+COUNTIF(Olympic_Events!A:A,D27)&gt;0),"OK","BROKEN")</f>
        <v>OK</v>
      </c>
    </row>
    <row r="28" customFormat="false" ht="35.05" hidden="false" customHeight="false" outlineLevel="0" collapsed="false">
      <c r="A28" s="4" t="s">
        <v>565</v>
      </c>
      <c r="B28" s="4" t="s">
        <v>523</v>
      </c>
      <c r="C28" s="4" t="s">
        <v>517</v>
      </c>
      <c r="D28" s="4" t="s">
        <v>70</v>
      </c>
      <c r="E28" s="4" t="s">
        <v>530</v>
      </c>
      <c r="F28" s="4" t="s">
        <v>531</v>
      </c>
      <c r="G28" s="4" t="n">
        <v>2</v>
      </c>
      <c r="H28" s="11"/>
      <c r="I28" s="5" t="s">
        <v>538</v>
      </c>
      <c r="J28" s="5"/>
      <c r="K28" s="5"/>
      <c r="L28" s="5" t="s">
        <v>539</v>
      </c>
      <c r="M28" s="5" t="s">
        <v>540</v>
      </c>
      <c r="N28" s="4" t="n">
        <v>30</v>
      </c>
      <c r="O28" s="4"/>
      <c r="P28" s="4" t="s">
        <v>146</v>
      </c>
      <c r="Q28" s="4" t="s">
        <v>138</v>
      </c>
      <c r="R28" s="4"/>
      <c r="S28" s="4"/>
      <c r="T28" s="4" t="str">
        <f aca="false">IF(AND(COUNTIF(Competitions!A:A,B28)+COUNTIF(Ranking_Systems!A:A,B28)+COUNTIF(Olympic_Events!A:A,B28)+IF(OR(B28="HOST_USA",B28="TRIPARTITE"),1,0)&gt;0,COUNTIF(Competitions!A:A,D28)+COUNTIF(Ranking_Systems!A:A,D28)+COUNTIF(Olympic_Events!A:A,D28)&gt;0),"OK","BROKEN")</f>
        <v>OK</v>
      </c>
    </row>
    <row r="29" customFormat="false" ht="35.05" hidden="false" customHeight="false" outlineLevel="0" collapsed="false">
      <c r="A29" s="4" t="s">
        <v>566</v>
      </c>
      <c r="B29" s="4" t="s">
        <v>523</v>
      </c>
      <c r="C29" s="4" t="s">
        <v>517</v>
      </c>
      <c r="D29" s="4" t="s">
        <v>70</v>
      </c>
      <c r="E29" s="4" t="s">
        <v>530</v>
      </c>
      <c r="F29" s="4" t="s">
        <v>534</v>
      </c>
      <c r="G29" s="4" t="n">
        <v>4</v>
      </c>
      <c r="H29" s="11"/>
      <c r="I29" s="5" t="s">
        <v>542</v>
      </c>
      <c r="J29" s="5"/>
      <c r="K29" s="5" t="s">
        <v>543</v>
      </c>
      <c r="L29" s="5" t="s">
        <v>539</v>
      </c>
      <c r="M29" s="5" t="s">
        <v>544</v>
      </c>
      <c r="N29" s="4" t="n">
        <v>40</v>
      </c>
      <c r="O29" s="4"/>
      <c r="P29" s="4" t="s">
        <v>146</v>
      </c>
      <c r="Q29" s="4" t="s">
        <v>138</v>
      </c>
      <c r="R29" s="4"/>
      <c r="S29" s="4"/>
      <c r="T29" s="4" t="str">
        <f aca="false">IF(AND(COUNTIF(Competitions!A:A,B29)+COUNTIF(Ranking_Systems!A:A,B29)+COUNTIF(Olympic_Events!A:A,B29)+IF(OR(B29="HOST_USA",B29="TRIPARTITE"),1,0)&gt;0,COUNTIF(Competitions!A:A,D29)+COUNTIF(Ranking_Systems!A:A,D29)+COUNTIF(Olympic_Events!A:A,D29)&gt;0),"OK","BROKEN")</f>
        <v>OK</v>
      </c>
    </row>
    <row r="30" customFormat="false" ht="23.85" hidden="false" customHeight="false" outlineLevel="0" collapsed="false">
      <c r="A30" s="4" t="s">
        <v>567</v>
      </c>
      <c r="B30" s="4" t="s">
        <v>156</v>
      </c>
      <c r="C30" s="4" t="s">
        <v>515</v>
      </c>
      <c r="D30" s="4" t="s">
        <v>70</v>
      </c>
      <c r="E30" s="4" t="s">
        <v>530</v>
      </c>
      <c r="F30" s="4" t="s">
        <v>546</v>
      </c>
      <c r="G30" s="4" t="n">
        <v>1</v>
      </c>
      <c r="H30" s="11"/>
      <c r="I30" s="5" t="s">
        <v>547</v>
      </c>
      <c r="J30" s="5"/>
      <c r="K30" s="5" t="s">
        <v>543</v>
      </c>
      <c r="L30" s="5"/>
      <c r="M30" s="5" t="s">
        <v>548</v>
      </c>
      <c r="N30" s="4" t="n">
        <v>50</v>
      </c>
      <c r="O30" s="4"/>
      <c r="P30" s="4" t="s">
        <v>146</v>
      </c>
      <c r="Q30" s="4" t="s">
        <v>138</v>
      </c>
      <c r="R30" s="4"/>
      <c r="S30" s="4"/>
      <c r="T30" s="4" t="str">
        <f aca="false">IF(AND(COUNTIF(Competitions!A:A,B30)+COUNTIF(Ranking_Systems!A:A,B30)+COUNTIF(Olympic_Events!A:A,B30)+IF(OR(B30="HOST_USA",B30="TRIPARTITE"),1,0)&gt;0,COUNTIF(Competitions!A:A,D30)+COUNTIF(Ranking_Systems!A:A,D30)+COUNTIF(Olympic_Events!A:A,D30)&gt;0),"OK","BROKEN")</f>
        <v>OK</v>
      </c>
    </row>
    <row r="31" customFormat="false" ht="23.85" hidden="false" customHeight="false" outlineLevel="0" collapsed="false">
      <c r="A31" s="4" t="s">
        <v>568</v>
      </c>
      <c r="B31" s="4" t="s">
        <v>163</v>
      </c>
      <c r="C31" s="4" t="s">
        <v>515</v>
      </c>
      <c r="D31" s="4" t="s">
        <v>70</v>
      </c>
      <c r="E31" s="4" t="s">
        <v>530</v>
      </c>
      <c r="F31" s="4" t="s">
        <v>546</v>
      </c>
      <c r="G31" s="4" t="n">
        <v>1</v>
      </c>
      <c r="H31" s="11"/>
      <c r="I31" s="5" t="s">
        <v>550</v>
      </c>
      <c r="J31" s="5"/>
      <c r="K31" s="5" t="s">
        <v>543</v>
      </c>
      <c r="L31" s="5"/>
      <c r="M31" s="5" t="s">
        <v>548</v>
      </c>
      <c r="N31" s="4" t="n">
        <v>50</v>
      </c>
      <c r="O31" s="4"/>
      <c r="P31" s="4" t="s">
        <v>146</v>
      </c>
      <c r="Q31" s="4" t="s">
        <v>138</v>
      </c>
      <c r="R31" s="4"/>
      <c r="S31" s="4"/>
      <c r="T31" s="4" t="str">
        <f aca="false">IF(AND(COUNTIF(Competitions!A:A,B31)+COUNTIF(Ranking_Systems!A:A,B31)+COUNTIF(Olympic_Events!A:A,B31)+IF(OR(B31="HOST_USA",B31="TRIPARTITE"),1,0)&gt;0,COUNTIF(Competitions!A:A,D31)+COUNTIF(Ranking_Systems!A:A,D31)+COUNTIF(Olympic_Events!A:A,D31)&gt;0),"OK","BROKEN")</f>
        <v>OK</v>
      </c>
    </row>
    <row r="32" customFormat="false" ht="23.85" hidden="false" customHeight="false" outlineLevel="0" collapsed="false">
      <c r="A32" s="4" t="s">
        <v>569</v>
      </c>
      <c r="B32" s="4" t="s">
        <v>165</v>
      </c>
      <c r="C32" s="4" t="s">
        <v>515</v>
      </c>
      <c r="D32" s="4" t="s">
        <v>70</v>
      </c>
      <c r="E32" s="4" t="s">
        <v>530</v>
      </c>
      <c r="F32" s="4" t="s">
        <v>546</v>
      </c>
      <c r="G32" s="4" t="n">
        <v>1</v>
      </c>
      <c r="H32" s="11"/>
      <c r="I32" s="5" t="s">
        <v>552</v>
      </c>
      <c r="J32" s="5"/>
      <c r="K32" s="5" t="s">
        <v>543</v>
      </c>
      <c r="L32" s="5"/>
      <c r="M32" s="5" t="s">
        <v>548</v>
      </c>
      <c r="N32" s="4" t="n">
        <v>50</v>
      </c>
      <c r="O32" s="4"/>
      <c r="P32" s="4" t="s">
        <v>146</v>
      </c>
      <c r="Q32" s="4" t="s">
        <v>138</v>
      </c>
      <c r="R32" s="4"/>
      <c r="S32" s="4"/>
      <c r="T32" s="4" t="str">
        <f aca="false">IF(AND(COUNTIF(Competitions!A:A,B32)+COUNTIF(Ranking_Systems!A:A,B32)+COUNTIF(Olympic_Events!A:A,B32)+IF(OR(B32="HOST_USA",B32="TRIPARTITE"),1,0)&gt;0,COUNTIF(Competitions!A:A,D32)+COUNTIF(Ranking_Systems!A:A,D32)+COUNTIF(Olympic_Events!A:A,D32)&gt;0),"OK","BROKEN")</f>
        <v>OK</v>
      </c>
    </row>
    <row r="33" customFormat="false" ht="23.85" hidden="false" customHeight="false" outlineLevel="0" collapsed="false">
      <c r="A33" s="4" t="s">
        <v>570</v>
      </c>
      <c r="B33" s="4" t="s">
        <v>167</v>
      </c>
      <c r="C33" s="4" t="s">
        <v>515</v>
      </c>
      <c r="D33" s="4" t="s">
        <v>70</v>
      </c>
      <c r="E33" s="4" t="s">
        <v>530</v>
      </c>
      <c r="F33" s="4" t="s">
        <v>546</v>
      </c>
      <c r="G33" s="4" t="n">
        <v>1</v>
      </c>
      <c r="H33" s="11"/>
      <c r="I33" s="5" t="s">
        <v>554</v>
      </c>
      <c r="J33" s="5"/>
      <c r="K33" s="5" t="s">
        <v>543</v>
      </c>
      <c r="L33" s="5"/>
      <c r="M33" s="5" t="s">
        <v>548</v>
      </c>
      <c r="N33" s="4" t="n">
        <v>50</v>
      </c>
      <c r="O33" s="4"/>
      <c r="P33" s="4" t="s">
        <v>146</v>
      </c>
      <c r="Q33" s="4" t="s">
        <v>138</v>
      </c>
      <c r="R33" s="4"/>
      <c r="S33" s="4"/>
      <c r="T33" s="4" t="str">
        <f aca="false">IF(AND(COUNTIF(Competitions!A:A,B33)+COUNTIF(Ranking_Systems!A:A,B33)+COUNTIF(Olympic_Events!A:A,B33)+IF(OR(B33="HOST_USA",B33="TRIPARTITE"),1,0)&gt;0,COUNTIF(Competitions!A:A,D33)+COUNTIF(Ranking_Systems!A:A,D33)+COUNTIF(Olympic_Events!A:A,D33)&gt;0),"OK","BROKEN")</f>
        <v>OK</v>
      </c>
    </row>
    <row r="34" customFormat="false" ht="23.85" hidden="false" customHeight="false" outlineLevel="0" collapsed="false">
      <c r="A34" s="4" t="s">
        <v>571</v>
      </c>
      <c r="B34" s="4" t="s">
        <v>516</v>
      </c>
      <c r="C34" s="4" t="s">
        <v>517</v>
      </c>
      <c r="D34" s="4" t="s">
        <v>77</v>
      </c>
      <c r="E34" s="4" t="s">
        <v>530</v>
      </c>
      <c r="F34" s="4" t="s">
        <v>531</v>
      </c>
      <c r="G34" s="4" t="n">
        <v>4</v>
      </c>
      <c r="H34" s="11"/>
      <c r="I34" s="5" t="s">
        <v>532</v>
      </c>
      <c r="J34" s="5"/>
      <c r="K34" s="5"/>
      <c r="L34" s="5"/>
      <c r="M34" s="5"/>
      <c r="N34" s="4" t="n">
        <v>10</v>
      </c>
      <c r="O34" s="4"/>
      <c r="P34" s="4" t="s">
        <v>137</v>
      </c>
      <c r="Q34" s="4" t="s">
        <v>138</v>
      </c>
      <c r="R34" s="4"/>
      <c r="S34" s="4"/>
      <c r="T34" s="4" t="str">
        <f aca="false">IF(AND(COUNTIF(Competitions!A:A,B34)+COUNTIF(Ranking_Systems!A:A,B34)+COUNTIF(Olympic_Events!A:A,B34)+IF(OR(B34="HOST_USA",B34="TRIPARTITE"),1,0)&gt;0,COUNTIF(Competitions!A:A,D34)+COUNTIF(Ranking_Systems!A:A,D34)+COUNTIF(Olympic_Events!A:A,D34)&gt;0),"OK","BROKEN")</f>
        <v>OK</v>
      </c>
    </row>
    <row r="35" customFormat="false" ht="23.85" hidden="false" customHeight="false" outlineLevel="0" collapsed="false">
      <c r="A35" s="4" t="s">
        <v>572</v>
      </c>
      <c r="B35" s="4" t="s">
        <v>516</v>
      </c>
      <c r="C35" s="4" t="s">
        <v>517</v>
      </c>
      <c r="D35" s="4" t="s">
        <v>77</v>
      </c>
      <c r="E35" s="4" t="s">
        <v>530</v>
      </c>
      <c r="F35" s="4" t="s">
        <v>534</v>
      </c>
      <c r="G35" s="4" t="n">
        <v>4</v>
      </c>
      <c r="H35" s="11"/>
      <c r="I35" s="5" t="s">
        <v>535</v>
      </c>
      <c r="J35" s="5"/>
      <c r="K35" s="5"/>
      <c r="L35" s="5"/>
      <c r="M35" s="5" t="s">
        <v>536</v>
      </c>
      <c r="N35" s="4" t="n">
        <v>20</v>
      </c>
      <c r="O35" s="4"/>
      <c r="P35" s="4" t="s">
        <v>137</v>
      </c>
      <c r="Q35" s="4" t="s">
        <v>138</v>
      </c>
      <c r="R35" s="4"/>
      <c r="S35" s="4"/>
      <c r="T35" s="4" t="str">
        <f aca="false">IF(AND(COUNTIF(Competitions!A:A,B35)+COUNTIF(Ranking_Systems!A:A,B35)+COUNTIF(Olympic_Events!A:A,B35)+IF(OR(B35="HOST_USA",B35="TRIPARTITE"),1,0)&gt;0,COUNTIF(Competitions!A:A,D35)+COUNTIF(Ranking_Systems!A:A,D35)+COUNTIF(Olympic_Events!A:A,D35)&gt;0),"OK","BROKEN")</f>
        <v>OK</v>
      </c>
    </row>
    <row r="36" customFormat="false" ht="35.05" hidden="false" customHeight="false" outlineLevel="0" collapsed="false">
      <c r="A36" s="4" t="s">
        <v>573</v>
      </c>
      <c r="B36" s="4" t="s">
        <v>523</v>
      </c>
      <c r="C36" s="4" t="s">
        <v>517</v>
      </c>
      <c r="D36" s="4" t="s">
        <v>74</v>
      </c>
      <c r="E36" s="4" t="s">
        <v>530</v>
      </c>
      <c r="F36" s="4" t="s">
        <v>531</v>
      </c>
      <c r="G36" s="4" t="n">
        <v>2</v>
      </c>
      <c r="H36" s="11"/>
      <c r="I36" s="5" t="s">
        <v>538</v>
      </c>
      <c r="J36" s="5"/>
      <c r="K36" s="5"/>
      <c r="L36" s="5" t="s">
        <v>539</v>
      </c>
      <c r="M36" s="5" t="s">
        <v>540</v>
      </c>
      <c r="N36" s="4" t="n">
        <v>30</v>
      </c>
      <c r="O36" s="4"/>
      <c r="P36" s="4" t="s">
        <v>146</v>
      </c>
      <c r="Q36" s="4" t="s">
        <v>138</v>
      </c>
      <c r="R36" s="4"/>
      <c r="S36" s="4"/>
      <c r="T36" s="4" t="str">
        <f aca="false">IF(AND(COUNTIF(Competitions!A:A,B36)+COUNTIF(Ranking_Systems!A:A,B36)+COUNTIF(Olympic_Events!A:A,B36)+IF(OR(B36="HOST_USA",B36="TRIPARTITE"),1,0)&gt;0,COUNTIF(Competitions!A:A,D36)+COUNTIF(Ranking_Systems!A:A,D36)+COUNTIF(Olympic_Events!A:A,D36)&gt;0),"OK","BROKEN")</f>
        <v>OK</v>
      </c>
    </row>
    <row r="37" customFormat="false" ht="35.05" hidden="false" customHeight="false" outlineLevel="0" collapsed="false">
      <c r="A37" s="4" t="s">
        <v>574</v>
      </c>
      <c r="B37" s="4" t="s">
        <v>523</v>
      </c>
      <c r="C37" s="4" t="s">
        <v>517</v>
      </c>
      <c r="D37" s="4" t="s">
        <v>74</v>
      </c>
      <c r="E37" s="4" t="s">
        <v>530</v>
      </c>
      <c r="F37" s="4" t="s">
        <v>534</v>
      </c>
      <c r="G37" s="4" t="n">
        <v>4</v>
      </c>
      <c r="H37" s="11"/>
      <c r="I37" s="5" t="s">
        <v>542</v>
      </c>
      <c r="J37" s="5"/>
      <c r="K37" s="5" t="s">
        <v>543</v>
      </c>
      <c r="L37" s="5" t="s">
        <v>539</v>
      </c>
      <c r="M37" s="5" t="s">
        <v>544</v>
      </c>
      <c r="N37" s="4" t="n">
        <v>40</v>
      </c>
      <c r="O37" s="4"/>
      <c r="P37" s="4" t="s">
        <v>146</v>
      </c>
      <c r="Q37" s="4" t="s">
        <v>138</v>
      </c>
      <c r="R37" s="4"/>
      <c r="S37" s="4"/>
      <c r="T37" s="4" t="str">
        <f aca="false">IF(AND(COUNTIF(Competitions!A:A,B37)+COUNTIF(Ranking_Systems!A:A,B37)+COUNTIF(Olympic_Events!A:A,B37)+IF(OR(B37="HOST_USA",B37="TRIPARTITE"),1,0)&gt;0,COUNTIF(Competitions!A:A,D37)+COUNTIF(Ranking_Systems!A:A,D37)+COUNTIF(Olympic_Events!A:A,D37)&gt;0),"OK","BROKEN")</f>
        <v>OK</v>
      </c>
    </row>
    <row r="38" customFormat="false" ht="23.85" hidden="false" customHeight="false" outlineLevel="0" collapsed="false">
      <c r="A38" s="4" t="s">
        <v>575</v>
      </c>
      <c r="B38" s="4" t="s">
        <v>156</v>
      </c>
      <c r="C38" s="4" t="s">
        <v>515</v>
      </c>
      <c r="D38" s="4" t="s">
        <v>74</v>
      </c>
      <c r="E38" s="4" t="s">
        <v>530</v>
      </c>
      <c r="F38" s="4" t="s">
        <v>546</v>
      </c>
      <c r="G38" s="4" t="n">
        <v>1</v>
      </c>
      <c r="H38" s="11"/>
      <c r="I38" s="5" t="s">
        <v>547</v>
      </c>
      <c r="J38" s="5"/>
      <c r="K38" s="5" t="s">
        <v>543</v>
      </c>
      <c r="L38" s="5"/>
      <c r="M38" s="5" t="s">
        <v>548</v>
      </c>
      <c r="N38" s="4" t="n">
        <v>50</v>
      </c>
      <c r="O38" s="4"/>
      <c r="P38" s="4" t="s">
        <v>146</v>
      </c>
      <c r="Q38" s="4" t="s">
        <v>138</v>
      </c>
      <c r="R38" s="4"/>
      <c r="S38" s="4"/>
      <c r="T38" s="4" t="str">
        <f aca="false">IF(AND(COUNTIF(Competitions!A:A,B38)+COUNTIF(Ranking_Systems!A:A,B38)+COUNTIF(Olympic_Events!A:A,B38)+IF(OR(B38="HOST_USA",B38="TRIPARTITE"),1,0)&gt;0,COUNTIF(Competitions!A:A,D38)+COUNTIF(Ranking_Systems!A:A,D38)+COUNTIF(Olympic_Events!A:A,D38)&gt;0),"OK","BROKEN")</f>
        <v>OK</v>
      </c>
    </row>
    <row r="39" customFormat="false" ht="23.85" hidden="false" customHeight="false" outlineLevel="0" collapsed="false">
      <c r="A39" s="4" t="s">
        <v>576</v>
      </c>
      <c r="B39" s="4" t="s">
        <v>163</v>
      </c>
      <c r="C39" s="4" t="s">
        <v>515</v>
      </c>
      <c r="D39" s="4" t="s">
        <v>74</v>
      </c>
      <c r="E39" s="4" t="s">
        <v>530</v>
      </c>
      <c r="F39" s="4" t="s">
        <v>546</v>
      </c>
      <c r="G39" s="4" t="n">
        <v>1</v>
      </c>
      <c r="H39" s="11"/>
      <c r="I39" s="5" t="s">
        <v>550</v>
      </c>
      <c r="J39" s="5"/>
      <c r="K39" s="5" t="s">
        <v>543</v>
      </c>
      <c r="L39" s="5"/>
      <c r="M39" s="5" t="s">
        <v>548</v>
      </c>
      <c r="N39" s="4" t="n">
        <v>50</v>
      </c>
      <c r="O39" s="4"/>
      <c r="P39" s="4" t="s">
        <v>146</v>
      </c>
      <c r="Q39" s="4" t="s">
        <v>138</v>
      </c>
      <c r="R39" s="4"/>
      <c r="S39" s="4"/>
      <c r="T39" s="4" t="str">
        <f aca="false">IF(AND(COUNTIF(Competitions!A:A,B39)+COUNTIF(Ranking_Systems!A:A,B39)+COUNTIF(Olympic_Events!A:A,B39)+IF(OR(B39="HOST_USA",B39="TRIPARTITE"),1,0)&gt;0,COUNTIF(Competitions!A:A,D39)+COUNTIF(Ranking_Systems!A:A,D39)+COUNTIF(Olympic_Events!A:A,D39)&gt;0),"OK","BROKEN")</f>
        <v>OK</v>
      </c>
    </row>
    <row r="40" customFormat="false" ht="23.85" hidden="false" customHeight="false" outlineLevel="0" collapsed="false">
      <c r="A40" s="4" t="s">
        <v>577</v>
      </c>
      <c r="B40" s="4" t="s">
        <v>165</v>
      </c>
      <c r="C40" s="4" t="s">
        <v>515</v>
      </c>
      <c r="D40" s="4" t="s">
        <v>74</v>
      </c>
      <c r="E40" s="4" t="s">
        <v>530</v>
      </c>
      <c r="F40" s="4" t="s">
        <v>546</v>
      </c>
      <c r="G40" s="4" t="n">
        <v>1</v>
      </c>
      <c r="H40" s="11"/>
      <c r="I40" s="5" t="s">
        <v>552</v>
      </c>
      <c r="J40" s="5"/>
      <c r="K40" s="5" t="s">
        <v>543</v>
      </c>
      <c r="L40" s="5"/>
      <c r="M40" s="5" t="s">
        <v>548</v>
      </c>
      <c r="N40" s="4" t="n">
        <v>50</v>
      </c>
      <c r="O40" s="4"/>
      <c r="P40" s="4" t="s">
        <v>146</v>
      </c>
      <c r="Q40" s="4" t="s">
        <v>138</v>
      </c>
      <c r="R40" s="4"/>
      <c r="S40" s="4"/>
      <c r="T40" s="4" t="str">
        <f aca="false">IF(AND(COUNTIF(Competitions!A:A,B40)+COUNTIF(Ranking_Systems!A:A,B40)+COUNTIF(Olympic_Events!A:A,B40)+IF(OR(B40="HOST_USA",B40="TRIPARTITE"),1,0)&gt;0,COUNTIF(Competitions!A:A,D40)+COUNTIF(Ranking_Systems!A:A,D40)+COUNTIF(Olympic_Events!A:A,D40)&gt;0),"OK","BROKEN")</f>
        <v>OK</v>
      </c>
    </row>
    <row r="41" customFormat="false" ht="23.85" hidden="false" customHeight="false" outlineLevel="0" collapsed="false">
      <c r="A41" s="4" t="s">
        <v>578</v>
      </c>
      <c r="B41" s="4" t="s">
        <v>167</v>
      </c>
      <c r="C41" s="4" t="s">
        <v>515</v>
      </c>
      <c r="D41" s="4" t="s">
        <v>74</v>
      </c>
      <c r="E41" s="4" t="s">
        <v>530</v>
      </c>
      <c r="F41" s="4" t="s">
        <v>546</v>
      </c>
      <c r="G41" s="4" t="n">
        <v>1</v>
      </c>
      <c r="H41" s="11"/>
      <c r="I41" s="5" t="s">
        <v>554</v>
      </c>
      <c r="J41" s="5"/>
      <c r="K41" s="5" t="s">
        <v>543</v>
      </c>
      <c r="L41" s="5"/>
      <c r="M41" s="5" t="s">
        <v>548</v>
      </c>
      <c r="N41" s="4" t="n">
        <v>50</v>
      </c>
      <c r="O41" s="4"/>
      <c r="P41" s="4" t="s">
        <v>146</v>
      </c>
      <c r="Q41" s="4" t="s">
        <v>138</v>
      </c>
      <c r="R41" s="4"/>
      <c r="S41" s="4"/>
      <c r="T41" s="4" t="str">
        <f aca="false">IF(AND(COUNTIF(Competitions!A:A,B41)+COUNTIF(Ranking_Systems!A:A,B41)+COUNTIF(Olympic_Events!A:A,B41)+IF(OR(B41="HOST_USA",B41="TRIPARTITE"),1,0)&gt;0,COUNTIF(Competitions!A:A,D41)+COUNTIF(Ranking_Systems!A:A,D41)+COUNTIF(Olympic_Events!A:A,D41)&gt;0),"OK","BROKEN")</f>
        <v>OK</v>
      </c>
    </row>
    <row r="42" customFormat="false" ht="23.85" hidden="false" customHeight="false" outlineLevel="0" collapsed="false">
      <c r="A42" s="4" t="s">
        <v>579</v>
      </c>
      <c r="B42" s="4" t="s">
        <v>516</v>
      </c>
      <c r="C42" s="4" t="s">
        <v>517</v>
      </c>
      <c r="D42" s="4" t="s">
        <v>81</v>
      </c>
      <c r="E42" s="4" t="s">
        <v>530</v>
      </c>
      <c r="F42" s="4" t="s">
        <v>531</v>
      </c>
      <c r="G42" s="4" t="n">
        <v>4</v>
      </c>
      <c r="H42" s="11"/>
      <c r="I42" s="5" t="s">
        <v>532</v>
      </c>
      <c r="J42" s="5"/>
      <c r="K42" s="5"/>
      <c r="L42" s="5"/>
      <c r="M42" s="5"/>
      <c r="N42" s="4" t="n">
        <v>10</v>
      </c>
      <c r="O42" s="4"/>
      <c r="P42" s="4" t="s">
        <v>137</v>
      </c>
      <c r="Q42" s="4" t="s">
        <v>138</v>
      </c>
      <c r="R42" s="4"/>
      <c r="S42" s="4"/>
      <c r="T42" s="4" t="str">
        <f aca="false">IF(AND(COUNTIF(Competitions!A:A,B42)+COUNTIF(Ranking_Systems!A:A,B42)+COUNTIF(Olympic_Events!A:A,B42)+IF(OR(B42="HOST_USA",B42="TRIPARTITE"),1,0)&gt;0,COUNTIF(Competitions!A:A,D42)+COUNTIF(Ranking_Systems!A:A,D42)+COUNTIF(Olympic_Events!A:A,D42)&gt;0),"OK","BROKEN")</f>
        <v>OK</v>
      </c>
    </row>
    <row r="43" customFormat="false" ht="23.85" hidden="false" customHeight="false" outlineLevel="0" collapsed="false">
      <c r="A43" s="4" t="s">
        <v>580</v>
      </c>
      <c r="B43" s="4" t="s">
        <v>516</v>
      </c>
      <c r="C43" s="4" t="s">
        <v>517</v>
      </c>
      <c r="D43" s="4" t="s">
        <v>81</v>
      </c>
      <c r="E43" s="4" t="s">
        <v>530</v>
      </c>
      <c r="F43" s="4" t="s">
        <v>534</v>
      </c>
      <c r="G43" s="4" t="n">
        <v>4</v>
      </c>
      <c r="H43" s="11"/>
      <c r="I43" s="5" t="s">
        <v>535</v>
      </c>
      <c r="J43" s="5"/>
      <c r="K43" s="5"/>
      <c r="L43" s="5"/>
      <c r="M43" s="5" t="s">
        <v>536</v>
      </c>
      <c r="N43" s="4" t="n">
        <v>20</v>
      </c>
      <c r="O43" s="4"/>
      <c r="P43" s="4" t="s">
        <v>137</v>
      </c>
      <c r="Q43" s="4" t="s">
        <v>138</v>
      </c>
      <c r="R43" s="4"/>
      <c r="S43" s="4"/>
      <c r="T43" s="4" t="str">
        <f aca="false">IF(AND(COUNTIF(Competitions!A:A,B43)+COUNTIF(Ranking_Systems!A:A,B43)+COUNTIF(Olympic_Events!A:A,B43)+IF(OR(B43="HOST_USA",B43="TRIPARTITE"),1,0)&gt;0,COUNTIF(Competitions!A:A,D43)+COUNTIF(Ranking_Systems!A:A,D43)+COUNTIF(Olympic_Events!A:A,D43)&gt;0),"OK","BROKEN")</f>
        <v>OK</v>
      </c>
    </row>
    <row r="44" customFormat="false" ht="35.05" hidden="false" customHeight="false" outlineLevel="0" collapsed="false">
      <c r="A44" s="4" t="s">
        <v>581</v>
      </c>
      <c r="B44" s="4" t="s">
        <v>523</v>
      </c>
      <c r="C44" s="4" t="s">
        <v>517</v>
      </c>
      <c r="D44" s="4" t="s">
        <v>79</v>
      </c>
      <c r="E44" s="4" t="s">
        <v>530</v>
      </c>
      <c r="F44" s="4" t="s">
        <v>531</v>
      </c>
      <c r="G44" s="4" t="n">
        <v>2</v>
      </c>
      <c r="H44" s="11"/>
      <c r="I44" s="5" t="s">
        <v>538</v>
      </c>
      <c r="J44" s="5"/>
      <c r="K44" s="5"/>
      <c r="L44" s="5" t="s">
        <v>539</v>
      </c>
      <c r="M44" s="5" t="s">
        <v>540</v>
      </c>
      <c r="N44" s="4" t="n">
        <v>30</v>
      </c>
      <c r="O44" s="4"/>
      <c r="P44" s="4" t="s">
        <v>146</v>
      </c>
      <c r="Q44" s="4" t="s">
        <v>138</v>
      </c>
      <c r="R44" s="4"/>
      <c r="S44" s="4"/>
      <c r="T44" s="4" t="str">
        <f aca="false">IF(AND(COUNTIF(Competitions!A:A,B44)+COUNTIF(Ranking_Systems!A:A,B44)+COUNTIF(Olympic_Events!A:A,B44)+IF(OR(B44="HOST_USA",B44="TRIPARTITE"),1,0)&gt;0,COUNTIF(Competitions!A:A,D44)+COUNTIF(Ranking_Systems!A:A,D44)+COUNTIF(Olympic_Events!A:A,D44)&gt;0),"OK","BROKEN")</f>
        <v>OK</v>
      </c>
    </row>
    <row r="45" customFormat="false" ht="35.05" hidden="false" customHeight="false" outlineLevel="0" collapsed="false">
      <c r="A45" s="4" t="s">
        <v>582</v>
      </c>
      <c r="B45" s="4" t="s">
        <v>523</v>
      </c>
      <c r="C45" s="4" t="s">
        <v>517</v>
      </c>
      <c r="D45" s="4" t="s">
        <v>79</v>
      </c>
      <c r="E45" s="4" t="s">
        <v>530</v>
      </c>
      <c r="F45" s="4" t="s">
        <v>534</v>
      </c>
      <c r="G45" s="4" t="n">
        <v>4</v>
      </c>
      <c r="H45" s="11"/>
      <c r="I45" s="5" t="s">
        <v>542</v>
      </c>
      <c r="J45" s="5"/>
      <c r="K45" s="5" t="s">
        <v>543</v>
      </c>
      <c r="L45" s="5" t="s">
        <v>539</v>
      </c>
      <c r="M45" s="5" t="s">
        <v>544</v>
      </c>
      <c r="N45" s="4" t="n">
        <v>40</v>
      </c>
      <c r="O45" s="4"/>
      <c r="P45" s="4" t="s">
        <v>146</v>
      </c>
      <c r="Q45" s="4" t="s">
        <v>138</v>
      </c>
      <c r="R45" s="4"/>
      <c r="S45" s="4"/>
      <c r="T45" s="4" t="str">
        <f aca="false">IF(AND(COUNTIF(Competitions!A:A,B45)+COUNTIF(Ranking_Systems!A:A,B45)+COUNTIF(Olympic_Events!A:A,B45)+IF(OR(B45="HOST_USA",B45="TRIPARTITE"),1,0)&gt;0,COUNTIF(Competitions!A:A,D45)+COUNTIF(Ranking_Systems!A:A,D45)+COUNTIF(Olympic_Events!A:A,D45)&gt;0),"OK","BROKEN")</f>
        <v>OK</v>
      </c>
    </row>
    <row r="46" customFormat="false" ht="23.85" hidden="false" customHeight="false" outlineLevel="0" collapsed="false">
      <c r="A46" s="4" t="s">
        <v>583</v>
      </c>
      <c r="B46" s="4" t="s">
        <v>156</v>
      </c>
      <c r="C46" s="4" t="s">
        <v>515</v>
      </c>
      <c r="D46" s="4" t="s">
        <v>79</v>
      </c>
      <c r="E46" s="4" t="s">
        <v>530</v>
      </c>
      <c r="F46" s="4" t="s">
        <v>546</v>
      </c>
      <c r="G46" s="4" t="n">
        <v>1</v>
      </c>
      <c r="H46" s="11"/>
      <c r="I46" s="5" t="s">
        <v>547</v>
      </c>
      <c r="J46" s="5"/>
      <c r="K46" s="5" t="s">
        <v>543</v>
      </c>
      <c r="L46" s="5"/>
      <c r="M46" s="5" t="s">
        <v>548</v>
      </c>
      <c r="N46" s="4" t="n">
        <v>50</v>
      </c>
      <c r="O46" s="4"/>
      <c r="P46" s="4" t="s">
        <v>146</v>
      </c>
      <c r="Q46" s="4" t="s">
        <v>138</v>
      </c>
      <c r="R46" s="4"/>
      <c r="S46" s="4"/>
      <c r="T46" s="4" t="str">
        <f aca="false">IF(AND(COUNTIF(Competitions!A:A,B46)+COUNTIF(Ranking_Systems!A:A,B46)+COUNTIF(Olympic_Events!A:A,B46)+IF(OR(B46="HOST_USA",B46="TRIPARTITE"),1,0)&gt;0,COUNTIF(Competitions!A:A,D46)+COUNTIF(Ranking_Systems!A:A,D46)+COUNTIF(Olympic_Events!A:A,D46)&gt;0),"OK","BROKEN")</f>
        <v>OK</v>
      </c>
    </row>
    <row r="47" customFormat="false" ht="23.85" hidden="false" customHeight="false" outlineLevel="0" collapsed="false">
      <c r="A47" s="4" t="s">
        <v>584</v>
      </c>
      <c r="B47" s="4" t="s">
        <v>163</v>
      </c>
      <c r="C47" s="4" t="s">
        <v>515</v>
      </c>
      <c r="D47" s="4" t="s">
        <v>79</v>
      </c>
      <c r="E47" s="4" t="s">
        <v>530</v>
      </c>
      <c r="F47" s="4" t="s">
        <v>546</v>
      </c>
      <c r="G47" s="4" t="n">
        <v>1</v>
      </c>
      <c r="H47" s="11"/>
      <c r="I47" s="5" t="s">
        <v>550</v>
      </c>
      <c r="J47" s="5"/>
      <c r="K47" s="5" t="s">
        <v>543</v>
      </c>
      <c r="L47" s="5"/>
      <c r="M47" s="5" t="s">
        <v>548</v>
      </c>
      <c r="N47" s="4" t="n">
        <v>50</v>
      </c>
      <c r="O47" s="4"/>
      <c r="P47" s="4" t="s">
        <v>146</v>
      </c>
      <c r="Q47" s="4" t="s">
        <v>138</v>
      </c>
      <c r="R47" s="4"/>
      <c r="S47" s="4"/>
      <c r="T47" s="4" t="str">
        <f aca="false">IF(AND(COUNTIF(Competitions!A:A,B47)+COUNTIF(Ranking_Systems!A:A,B47)+COUNTIF(Olympic_Events!A:A,B47)+IF(OR(B47="HOST_USA",B47="TRIPARTITE"),1,0)&gt;0,COUNTIF(Competitions!A:A,D47)+COUNTIF(Ranking_Systems!A:A,D47)+COUNTIF(Olympic_Events!A:A,D47)&gt;0),"OK","BROKEN")</f>
        <v>OK</v>
      </c>
    </row>
    <row r="48" customFormat="false" ht="23.85" hidden="false" customHeight="false" outlineLevel="0" collapsed="false">
      <c r="A48" s="4" t="s">
        <v>585</v>
      </c>
      <c r="B48" s="4" t="s">
        <v>165</v>
      </c>
      <c r="C48" s="4" t="s">
        <v>515</v>
      </c>
      <c r="D48" s="4" t="s">
        <v>79</v>
      </c>
      <c r="E48" s="4" t="s">
        <v>530</v>
      </c>
      <c r="F48" s="4" t="s">
        <v>546</v>
      </c>
      <c r="G48" s="4" t="n">
        <v>1</v>
      </c>
      <c r="H48" s="11"/>
      <c r="I48" s="5" t="s">
        <v>552</v>
      </c>
      <c r="J48" s="5"/>
      <c r="K48" s="5" t="s">
        <v>543</v>
      </c>
      <c r="L48" s="5"/>
      <c r="M48" s="5" t="s">
        <v>548</v>
      </c>
      <c r="N48" s="4" t="n">
        <v>50</v>
      </c>
      <c r="O48" s="4"/>
      <c r="P48" s="4" t="s">
        <v>146</v>
      </c>
      <c r="Q48" s="4" t="s">
        <v>138</v>
      </c>
      <c r="R48" s="4"/>
      <c r="S48" s="4"/>
      <c r="T48" s="4" t="str">
        <f aca="false">IF(AND(COUNTIF(Competitions!A:A,B48)+COUNTIF(Ranking_Systems!A:A,B48)+COUNTIF(Olympic_Events!A:A,B48)+IF(OR(B48="HOST_USA",B48="TRIPARTITE"),1,0)&gt;0,COUNTIF(Competitions!A:A,D48)+COUNTIF(Ranking_Systems!A:A,D48)+COUNTIF(Olympic_Events!A:A,D48)&gt;0),"OK","BROKEN")</f>
        <v>OK</v>
      </c>
    </row>
    <row r="49" customFormat="false" ht="23.85" hidden="false" customHeight="false" outlineLevel="0" collapsed="false">
      <c r="A49" s="4" t="s">
        <v>586</v>
      </c>
      <c r="B49" s="4" t="s">
        <v>167</v>
      </c>
      <c r="C49" s="4" t="s">
        <v>515</v>
      </c>
      <c r="D49" s="4" t="s">
        <v>79</v>
      </c>
      <c r="E49" s="4" t="s">
        <v>530</v>
      </c>
      <c r="F49" s="4" t="s">
        <v>546</v>
      </c>
      <c r="G49" s="4" t="n">
        <v>1</v>
      </c>
      <c r="H49" s="11"/>
      <c r="I49" s="5" t="s">
        <v>554</v>
      </c>
      <c r="J49" s="5"/>
      <c r="K49" s="5" t="s">
        <v>543</v>
      </c>
      <c r="L49" s="5"/>
      <c r="M49" s="5" t="s">
        <v>548</v>
      </c>
      <c r="N49" s="4" t="n">
        <v>50</v>
      </c>
      <c r="O49" s="4"/>
      <c r="P49" s="4" t="s">
        <v>146</v>
      </c>
      <c r="Q49" s="4" t="s">
        <v>138</v>
      </c>
      <c r="R49" s="4"/>
      <c r="S49" s="4"/>
      <c r="T49" s="4" t="str">
        <f aca="false">IF(AND(COUNTIF(Competitions!A:A,B49)+COUNTIF(Ranking_Systems!A:A,B49)+COUNTIF(Olympic_Events!A:A,B49)+IF(OR(B49="HOST_USA",B49="TRIPARTITE"),1,0)&gt;0,COUNTIF(Competitions!A:A,D49)+COUNTIF(Ranking_Systems!A:A,D49)+COUNTIF(Olympic_Events!A:A,D49)&gt;0),"OK","BROKEN")</f>
        <v>OK</v>
      </c>
    </row>
    <row r="50" customFormat="false" ht="23.85" hidden="false" customHeight="false" outlineLevel="0" collapsed="false">
      <c r="A50" s="4" t="s">
        <v>587</v>
      </c>
      <c r="B50" s="4" t="s">
        <v>516</v>
      </c>
      <c r="C50" s="4" t="s">
        <v>517</v>
      </c>
      <c r="D50" s="4" t="s">
        <v>85</v>
      </c>
      <c r="E50" s="4" t="s">
        <v>530</v>
      </c>
      <c r="F50" s="4" t="s">
        <v>531</v>
      </c>
      <c r="G50" s="4" t="n">
        <v>4</v>
      </c>
      <c r="H50" s="11"/>
      <c r="I50" s="5" t="s">
        <v>532</v>
      </c>
      <c r="J50" s="5"/>
      <c r="K50" s="5"/>
      <c r="L50" s="5"/>
      <c r="M50" s="5"/>
      <c r="N50" s="4" t="n">
        <v>10</v>
      </c>
      <c r="O50" s="4"/>
      <c r="P50" s="4" t="s">
        <v>137</v>
      </c>
      <c r="Q50" s="4" t="s">
        <v>138</v>
      </c>
      <c r="R50" s="4"/>
      <c r="S50" s="4"/>
      <c r="T50" s="4" t="str">
        <f aca="false">IF(AND(COUNTIF(Competitions!A:A,B50)+COUNTIF(Ranking_Systems!A:A,B50)+COUNTIF(Olympic_Events!A:A,B50)+IF(OR(B50="HOST_USA",B50="TRIPARTITE"),1,0)&gt;0,COUNTIF(Competitions!A:A,D50)+COUNTIF(Ranking_Systems!A:A,D50)+COUNTIF(Olympic_Events!A:A,D50)&gt;0),"OK","BROKEN")</f>
        <v>OK</v>
      </c>
    </row>
    <row r="51" customFormat="false" ht="23.85" hidden="false" customHeight="false" outlineLevel="0" collapsed="false">
      <c r="A51" s="4" t="s">
        <v>588</v>
      </c>
      <c r="B51" s="4" t="s">
        <v>516</v>
      </c>
      <c r="C51" s="4" t="s">
        <v>517</v>
      </c>
      <c r="D51" s="4" t="s">
        <v>85</v>
      </c>
      <c r="E51" s="4" t="s">
        <v>530</v>
      </c>
      <c r="F51" s="4" t="s">
        <v>534</v>
      </c>
      <c r="G51" s="4" t="n">
        <v>4</v>
      </c>
      <c r="H51" s="11"/>
      <c r="I51" s="5" t="s">
        <v>535</v>
      </c>
      <c r="J51" s="5"/>
      <c r="K51" s="5"/>
      <c r="L51" s="5"/>
      <c r="M51" s="5" t="s">
        <v>536</v>
      </c>
      <c r="N51" s="4" t="n">
        <v>20</v>
      </c>
      <c r="O51" s="4"/>
      <c r="P51" s="4" t="s">
        <v>137</v>
      </c>
      <c r="Q51" s="4" t="s">
        <v>138</v>
      </c>
      <c r="R51" s="4"/>
      <c r="S51" s="4"/>
      <c r="T51" s="4" t="str">
        <f aca="false">IF(AND(COUNTIF(Competitions!A:A,B51)+COUNTIF(Ranking_Systems!A:A,B51)+COUNTIF(Olympic_Events!A:A,B51)+IF(OR(B51="HOST_USA",B51="TRIPARTITE"),1,0)&gt;0,COUNTIF(Competitions!A:A,D51)+COUNTIF(Ranking_Systems!A:A,D51)+COUNTIF(Olympic_Events!A:A,D51)&gt;0),"OK","BROKEN")</f>
        <v>OK</v>
      </c>
    </row>
    <row r="52" customFormat="false" ht="35.05" hidden="false" customHeight="false" outlineLevel="0" collapsed="false">
      <c r="A52" s="4" t="s">
        <v>589</v>
      </c>
      <c r="B52" s="4" t="s">
        <v>523</v>
      </c>
      <c r="C52" s="4" t="s">
        <v>517</v>
      </c>
      <c r="D52" s="4" t="s">
        <v>83</v>
      </c>
      <c r="E52" s="4" t="s">
        <v>530</v>
      </c>
      <c r="F52" s="4" t="s">
        <v>531</v>
      </c>
      <c r="G52" s="4" t="n">
        <v>2</v>
      </c>
      <c r="H52" s="11"/>
      <c r="I52" s="5" t="s">
        <v>538</v>
      </c>
      <c r="J52" s="5"/>
      <c r="K52" s="5"/>
      <c r="L52" s="5" t="s">
        <v>539</v>
      </c>
      <c r="M52" s="5" t="s">
        <v>540</v>
      </c>
      <c r="N52" s="4" t="n">
        <v>30</v>
      </c>
      <c r="O52" s="4"/>
      <c r="P52" s="4" t="s">
        <v>146</v>
      </c>
      <c r="Q52" s="4" t="s">
        <v>138</v>
      </c>
      <c r="R52" s="4"/>
      <c r="S52" s="4"/>
      <c r="T52" s="4" t="str">
        <f aca="false">IF(AND(COUNTIF(Competitions!A:A,B52)+COUNTIF(Ranking_Systems!A:A,B52)+COUNTIF(Olympic_Events!A:A,B52)+IF(OR(B52="HOST_USA",B52="TRIPARTITE"),1,0)&gt;0,COUNTIF(Competitions!A:A,D52)+COUNTIF(Ranking_Systems!A:A,D52)+COUNTIF(Olympic_Events!A:A,D52)&gt;0),"OK","BROKEN")</f>
        <v>OK</v>
      </c>
    </row>
    <row r="53" customFormat="false" ht="35.05" hidden="false" customHeight="false" outlineLevel="0" collapsed="false">
      <c r="A53" s="4" t="s">
        <v>590</v>
      </c>
      <c r="B53" s="4" t="s">
        <v>523</v>
      </c>
      <c r="C53" s="4" t="s">
        <v>517</v>
      </c>
      <c r="D53" s="4" t="s">
        <v>83</v>
      </c>
      <c r="E53" s="4" t="s">
        <v>530</v>
      </c>
      <c r="F53" s="4" t="s">
        <v>534</v>
      </c>
      <c r="G53" s="4" t="n">
        <v>4</v>
      </c>
      <c r="H53" s="11"/>
      <c r="I53" s="5" t="s">
        <v>542</v>
      </c>
      <c r="J53" s="5"/>
      <c r="K53" s="5" t="s">
        <v>543</v>
      </c>
      <c r="L53" s="5" t="s">
        <v>539</v>
      </c>
      <c r="M53" s="5" t="s">
        <v>544</v>
      </c>
      <c r="N53" s="4" t="n">
        <v>40</v>
      </c>
      <c r="O53" s="4"/>
      <c r="P53" s="4" t="s">
        <v>146</v>
      </c>
      <c r="Q53" s="4" t="s">
        <v>138</v>
      </c>
      <c r="R53" s="4"/>
      <c r="S53" s="4"/>
      <c r="T53" s="4" t="str">
        <f aca="false">IF(AND(COUNTIF(Competitions!A:A,B53)+COUNTIF(Ranking_Systems!A:A,B53)+COUNTIF(Olympic_Events!A:A,B53)+IF(OR(B53="HOST_USA",B53="TRIPARTITE"),1,0)&gt;0,COUNTIF(Competitions!A:A,D53)+COUNTIF(Ranking_Systems!A:A,D53)+COUNTIF(Olympic_Events!A:A,D53)&gt;0),"OK","BROKEN")</f>
        <v>OK</v>
      </c>
    </row>
    <row r="54" customFormat="false" ht="23.85" hidden="false" customHeight="false" outlineLevel="0" collapsed="false">
      <c r="A54" s="4" t="s">
        <v>591</v>
      </c>
      <c r="B54" s="4" t="s">
        <v>156</v>
      </c>
      <c r="C54" s="4" t="s">
        <v>515</v>
      </c>
      <c r="D54" s="4" t="s">
        <v>83</v>
      </c>
      <c r="E54" s="4" t="s">
        <v>530</v>
      </c>
      <c r="F54" s="4" t="s">
        <v>546</v>
      </c>
      <c r="G54" s="4" t="n">
        <v>1</v>
      </c>
      <c r="H54" s="11"/>
      <c r="I54" s="5" t="s">
        <v>547</v>
      </c>
      <c r="J54" s="5"/>
      <c r="K54" s="5" t="s">
        <v>543</v>
      </c>
      <c r="L54" s="5"/>
      <c r="M54" s="5" t="s">
        <v>548</v>
      </c>
      <c r="N54" s="4" t="n">
        <v>50</v>
      </c>
      <c r="O54" s="4"/>
      <c r="P54" s="4" t="s">
        <v>146</v>
      </c>
      <c r="Q54" s="4" t="s">
        <v>138</v>
      </c>
      <c r="R54" s="4"/>
      <c r="S54" s="4"/>
      <c r="T54" s="4" t="str">
        <f aca="false">IF(AND(COUNTIF(Competitions!A:A,B54)+COUNTIF(Ranking_Systems!A:A,B54)+COUNTIF(Olympic_Events!A:A,B54)+IF(OR(B54="HOST_USA",B54="TRIPARTITE"),1,0)&gt;0,COUNTIF(Competitions!A:A,D54)+COUNTIF(Ranking_Systems!A:A,D54)+COUNTIF(Olympic_Events!A:A,D54)&gt;0),"OK","BROKEN")</f>
        <v>OK</v>
      </c>
    </row>
    <row r="55" customFormat="false" ht="23.85" hidden="false" customHeight="false" outlineLevel="0" collapsed="false">
      <c r="A55" s="4" t="s">
        <v>592</v>
      </c>
      <c r="B55" s="4" t="s">
        <v>163</v>
      </c>
      <c r="C55" s="4" t="s">
        <v>515</v>
      </c>
      <c r="D55" s="4" t="s">
        <v>83</v>
      </c>
      <c r="E55" s="4" t="s">
        <v>530</v>
      </c>
      <c r="F55" s="4" t="s">
        <v>546</v>
      </c>
      <c r="G55" s="4" t="n">
        <v>1</v>
      </c>
      <c r="H55" s="11"/>
      <c r="I55" s="5" t="s">
        <v>550</v>
      </c>
      <c r="J55" s="5"/>
      <c r="K55" s="5" t="s">
        <v>543</v>
      </c>
      <c r="L55" s="5"/>
      <c r="M55" s="5" t="s">
        <v>548</v>
      </c>
      <c r="N55" s="4" t="n">
        <v>50</v>
      </c>
      <c r="O55" s="4"/>
      <c r="P55" s="4" t="s">
        <v>146</v>
      </c>
      <c r="Q55" s="4" t="s">
        <v>138</v>
      </c>
      <c r="R55" s="4"/>
      <c r="S55" s="4"/>
      <c r="T55" s="4" t="str">
        <f aca="false">IF(AND(COUNTIF(Competitions!A:A,B55)+COUNTIF(Ranking_Systems!A:A,B55)+COUNTIF(Olympic_Events!A:A,B55)+IF(OR(B55="HOST_USA",B55="TRIPARTITE"),1,0)&gt;0,COUNTIF(Competitions!A:A,D55)+COUNTIF(Ranking_Systems!A:A,D55)+COUNTIF(Olympic_Events!A:A,D55)&gt;0),"OK","BROKEN")</f>
        <v>OK</v>
      </c>
    </row>
    <row r="56" customFormat="false" ht="23.85" hidden="false" customHeight="false" outlineLevel="0" collapsed="false">
      <c r="A56" s="4" t="s">
        <v>593</v>
      </c>
      <c r="B56" s="4" t="s">
        <v>165</v>
      </c>
      <c r="C56" s="4" t="s">
        <v>515</v>
      </c>
      <c r="D56" s="4" t="s">
        <v>83</v>
      </c>
      <c r="E56" s="4" t="s">
        <v>530</v>
      </c>
      <c r="F56" s="4" t="s">
        <v>546</v>
      </c>
      <c r="G56" s="4" t="n">
        <v>1</v>
      </c>
      <c r="H56" s="11"/>
      <c r="I56" s="5" t="s">
        <v>552</v>
      </c>
      <c r="J56" s="5"/>
      <c r="K56" s="5" t="s">
        <v>543</v>
      </c>
      <c r="L56" s="5"/>
      <c r="M56" s="5" t="s">
        <v>548</v>
      </c>
      <c r="N56" s="4" t="n">
        <v>50</v>
      </c>
      <c r="O56" s="4"/>
      <c r="P56" s="4" t="s">
        <v>146</v>
      </c>
      <c r="Q56" s="4" t="s">
        <v>138</v>
      </c>
      <c r="R56" s="4"/>
      <c r="S56" s="4"/>
      <c r="T56" s="4" t="str">
        <f aca="false">IF(AND(COUNTIF(Competitions!A:A,B56)+COUNTIF(Ranking_Systems!A:A,B56)+COUNTIF(Olympic_Events!A:A,B56)+IF(OR(B56="HOST_USA",B56="TRIPARTITE"),1,0)&gt;0,COUNTIF(Competitions!A:A,D56)+COUNTIF(Ranking_Systems!A:A,D56)+COUNTIF(Olympic_Events!A:A,D56)&gt;0),"OK","BROKEN")</f>
        <v>OK</v>
      </c>
    </row>
    <row r="57" customFormat="false" ht="23.85" hidden="false" customHeight="false" outlineLevel="0" collapsed="false">
      <c r="A57" s="4" t="s">
        <v>594</v>
      </c>
      <c r="B57" s="4" t="s">
        <v>167</v>
      </c>
      <c r="C57" s="4" t="s">
        <v>515</v>
      </c>
      <c r="D57" s="4" t="s">
        <v>83</v>
      </c>
      <c r="E57" s="4" t="s">
        <v>530</v>
      </c>
      <c r="F57" s="4" t="s">
        <v>546</v>
      </c>
      <c r="G57" s="4" t="n">
        <v>1</v>
      </c>
      <c r="H57" s="11"/>
      <c r="I57" s="5" t="s">
        <v>554</v>
      </c>
      <c r="J57" s="5"/>
      <c r="K57" s="5" t="s">
        <v>543</v>
      </c>
      <c r="L57" s="5"/>
      <c r="M57" s="5" t="s">
        <v>548</v>
      </c>
      <c r="N57" s="4" t="n">
        <v>50</v>
      </c>
      <c r="O57" s="4"/>
      <c r="P57" s="4" t="s">
        <v>146</v>
      </c>
      <c r="Q57" s="4" t="s">
        <v>138</v>
      </c>
      <c r="R57" s="4"/>
      <c r="S57" s="4"/>
      <c r="T57" s="4" t="str">
        <f aca="false">IF(AND(COUNTIF(Competitions!A:A,B57)+COUNTIF(Ranking_Systems!A:A,B57)+COUNTIF(Olympic_Events!A:A,B57)+IF(OR(B57="HOST_USA",B57="TRIPARTITE"),1,0)&gt;0,COUNTIF(Competitions!A:A,D57)+COUNTIF(Ranking_Systems!A:A,D57)+COUNTIF(Olympic_Events!A:A,D57)&gt;0),"OK","BROKEN")</f>
        <v>OK</v>
      </c>
    </row>
    <row r="58" customFormat="false" ht="23.85" hidden="false" customHeight="false" outlineLevel="0" collapsed="false">
      <c r="A58" s="4" t="s">
        <v>595</v>
      </c>
      <c r="B58" s="4" t="s">
        <v>596</v>
      </c>
      <c r="C58" s="4" t="s">
        <v>597</v>
      </c>
      <c r="D58" s="4" t="s">
        <v>87</v>
      </c>
      <c r="E58" s="4" t="s">
        <v>530</v>
      </c>
      <c r="F58" s="4" t="s">
        <v>598</v>
      </c>
      <c r="G58" s="4" t="n">
        <v>6</v>
      </c>
      <c r="H58" s="11"/>
      <c r="I58" s="5" t="s">
        <v>599</v>
      </c>
      <c r="J58" s="5"/>
      <c r="K58" s="5"/>
      <c r="L58" s="5"/>
      <c r="M58" s="5" t="s">
        <v>600</v>
      </c>
      <c r="N58" s="4" t="n">
        <v>60</v>
      </c>
      <c r="O58" s="4"/>
      <c r="P58" s="4" t="s">
        <v>193</v>
      </c>
      <c r="Q58" s="4" t="s">
        <v>138</v>
      </c>
      <c r="R58" s="4"/>
      <c r="S58" s="4"/>
      <c r="T58" s="4" t="str">
        <f aca="false">IF(AND(COUNTIF(Competitions!A:A,B58)+COUNTIF(Ranking_Systems!A:A,B58)+COUNTIF(Olympic_Events!A:A,B58)+IF(OR(B58="HOST_USA",B58="TRIPARTITE"),1,0)&gt;0,COUNTIF(Competitions!A:A,D58)+COUNTIF(Ranking_Systems!A:A,D58)+COUNTIF(Olympic_Events!A:A,D58)&gt;0),"OK","BROKEN")</f>
        <v>OK</v>
      </c>
    </row>
    <row r="59" customFormat="false" ht="23.85" hidden="false" customHeight="false" outlineLevel="0" collapsed="false">
      <c r="A59" s="4" t="s">
        <v>601</v>
      </c>
      <c r="B59" s="4" t="s">
        <v>602</v>
      </c>
      <c r="C59" s="4" t="s">
        <v>597</v>
      </c>
      <c r="D59" s="4" t="s">
        <v>87</v>
      </c>
      <c r="E59" s="4" t="s">
        <v>530</v>
      </c>
      <c r="F59" s="4" t="s">
        <v>602</v>
      </c>
      <c r="G59" s="4" t="n">
        <v>2</v>
      </c>
      <c r="H59" s="11"/>
      <c r="I59" s="5" t="s">
        <v>603</v>
      </c>
      <c r="J59" s="5"/>
      <c r="K59" s="5"/>
      <c r="L59" s="5"/>
      <c r="M59" s="5" t="s">
        <v>604</v>
      </c>
      <c r="N59" s="4" t="n">
        <v>70</v>
      </c>
      <c r="O59" s="4"/>
      <c r="P59" s="4" t="s">
        <v>605</v>
      </c>
      <c r="Q59" s="4" t="s">
        <v>138</v>
      </c>
      <c r="R59" s="4"/>
      <c r="S59" s="4"/>
      <c r="T59" s="4" t="str">
        <f aca="false">IF(AND(COUNTIF(Competitions!A:A,B59)+COUNTIF(Ranking_Systems!A:A,B59)+COUNTIF(Olympic_Events!A:A,B59)+IF(OR(B59="HOST_USA",B59="TRIPARTITE"),1,0)&gt;0,COUNTIF(Competitions!A:A,D59)+COUNTIF(Ranking_Systems!A:A,D59)+COUNTIF(Olympic_Events!A:A,D59)&gt;0),"OK","BROKEN")</f>
        <v>OK</v>
      </c>
    </row>
    <row r="60" customFormat="false" ht="46.25" hidden="false" customHeight="false" outlineLevel="0" collapsed="false">
      <c r="A60" s="4" t="s">
        <v>606</v>
      </c>
      <c r="B60" s="4" t="s">
        <v>607</v>
      </c>
      <c r="C60" s="4" t="s">
        <v>517</v>
      </c>
      <c r="D60" s="4" t="s">
        <v>91</v>
      </c>
      <c r="E60" s="4" t="s">
        <v>530</v>
      </c>
      <c r="F60" s="4" t="s">
        <v>531</v>
      </c>
      <c r="G60" s="4" t="n">
        <v>4</v>
      </c>
      <c r="H60" s="11"/>
      <c r="I60" s="5" t="s">
        <v>608</v>
      </c>
      <c r="J60" s="5"/>
      <c r="K60" s="5"/>
      <c r="L60" s="5" t="s">
        <v>609</v>
      </c>
      <c r="M60" s="5" t="s">
        <v>610</v>
      </c>
      <c r="N60" s="4" t="n">
        <v>10</v>
      </c>
      <c r="O60" s="4"/>
      <c r="P60" s="4" t="s">
        <v>137</v>
      </c>
      <c r="Q60" s="4" t="s">
        <v>611</v>
      </c>
      <c r="R60" s="4"/>
      <c r="S60" s="4" t="s">
        <v>612</v>
      </c>
      <c r="T60" s="4" t="str">
        <f aca="false">IF(AND(COUNTIF(Competitions!A:A,B60)+COUNTIF(Ranking_Systems!A:A,B60)+COUNTIF(Olympic_Events!A:A,B60)+IF(OR(B60="HOST_USA",B60="TRIPARTITE"),1,0)&gt;0,COUNTIF(Competitions!A:A,D60)+COUNTIF(Ranking_Systems!A:A,D60)+COUNTIF(Olympic_Events!A:A,D60)&gt;0),"OK","BROKEN")</f>
        <v>OK</v>
      </c>
    </row>
    <row r="61" customFormat="false" ht="46.25" hidden="false" customHeight="false" outlineLevel="0" collapsed="false">
      <c r="A61" s="4" t="s">
        <v>613</v>
      </c>
      <c r="B61" s="4" t="s">
        <v>596</v>
      </c>
      <c r="C61" s="4" t="s">
        <v>597</v>
      </c>
      <c r="D61" s="4" t="s">
        <v>91</v>
      </c>
      <c r="E61" s="4" t="s">
        <v>530</v>
      </c>
      <c r="F61" s="4" t="s">
        <v>598</v>
      </c>
      <c r="G61" s="4" t="n">
        <v>1</v>
      </c>
      <c r="H61" s="11"/>
      <c r="I61" s="5" t="s">
        <v>614</v>
      </c>
      <c r="J61" s="5"/>
      <c r="K61" s="5"/>
      <c r="L61" s="5"/>
      <c r="M61" s="5" t="s">
        <v>615</v>
      </c>
      <c r="N61" s="4" t="n">
        <v>20</v>
      </c>
      <c r="O61" s="4" t="s">
        <v>607</v>
      </c>
      <c r="P61" s="4" t="s">
        <v>616</v>
      </c>
      <c r="Q61" s="4" t="s">
        <v>138</v>
      </c>
      <c r="R61" s="4"/>
      <c r="S61" s="4" t="s">
        <v>617</v>
      </c>
      <c r="T61" s="4" t="str">
        <f aca="false">IF(AND(COUNTIF(Competitions!A:A,B61)+COUNTIF(Ranking_Systems!A:A,B61)+COUNTIF(Olympic_Events!A:A,B61)+IF(OR(B61="HOST_USA",B61="TRIPARTITE"),1,0)&gt;0,COUNTIF(Competitions!A:A,D61)+COUNTIF(Ranking_Systems!A:A,D61)+COUNTIF(Olympic_Events!A:A,D61)&gt;0),"OK","BROKEN")</f>
        <v>OK</v>
      </c>
    </row>
    <row r="62" customFormat="false" ht="35.05" hidden="false" customHeight="false" outlineLevel="0" collapsed="false">
      <c r="A62" s="4" t="s">
        <v>618</v>
      </c>
      <c r="B62" s="4" t="s">
        <v>607</v>
      </c>
      <c r="C62" s="4" t="s">
        <v>517</v>
      </c>
      <c r="D62" s="4" t="s">
        <v>178</v>
      </c>
      <c r="E62" s="4" t="s">
        <v>515</v>
      </c>
      <c r="F62" s="4" t="s">
        <v>619</v>
      </c>
      <c r="G62" s="4"/>
      <c r="H62" s="4" t="n">
        <v>8</v>
      </c>
      <c r="I62" s="5" t="s">
        <v>620</v>
      </c>
      <c r="J62" s="5"/>
      <c r="K62" s="5" t="s">
        <v>621</v>
      </c>
      <c r="L62" s="5"/>
      <c r="M62" s="5" t="s">
        <v>622</v>
      </c>
      <c r="N62" s="4" t="n">
        <v>25</v>
      </c>
      <c r="O62" s="4"/>
      <c r="P62" s="4" t="s">
        <v>183</v>
      </c>
      <c r="Q62" s="4" t="s">
        <v>138</v>
      </c>
      <c r="R62" s="4"/>
      <c r="S62" s="4" t="s">
        <v>623</v>
      </c>
      <c r="T62" s="4" t="str">
        <f aca="false">IF(AND(COUNTIF(Competitions!A:A,B62)+COUNTIF(Ranking_Systems!A:A,B62)+COUNTIF(Olympic_Events!A:A,B62)+IF(OR(B62="HOST_USA",B62="TRIPARTITE"),1,0)&gt;0,COUNTIF(Competitions!A:A,D62)+COUNTIF(Ranking_Systems!A:A,D62)+COUNTIF(Olympic_Events!A:A,D62)&gt;0),"OK","BROKEN")</f>
        <v>OK</v>
      </c>
    </row>
    <row r="63" customFormat="false" ht="23.85" hidden="false" customHeight="false" outlineLevel="0" collapsed="false">
      <c r="A63" s="12" t="s">
        <v>624</v>
      </c>
      <c r="B63" s="12" t="s">
        <v>189</v>
      </c>
      <c r="C63" s="12" t="s">
        <v>515</v>
      </c>
      <c r="D63" s="12" t="s">
        <v>178</v>
      </c>
      <c r="E63" s="12" t="s">
        <v>515</v>
      </c>
      <c r="F63" s="12" t="s">
        <v>625</v>
      </c>
      <c r="G63" s="12"/>
      <c r="H63" s="12" t="n">
        <v>1</v>
      </c>
      <c r="I63" s="13" t="s">
        <v>626</v>
      </c>
      <c r="J63" s="13"/>
      <c r="K63" s="13" t="s">
        <v>627</v>
      </c>
      <c r="L63" s="13"/>
      <c r="M63" s="13" t="s">
        <v>628</v>
      </c>
      <c r="N63" s="12" t="n">
        <v>26</v>
      </c>
      <c r="O63" s="12"/>
      <c r="P63" s="12" t="s">
        <v>193</v>
      </c>
      <c r="Q63" s="12" t="s">
        <v>191</v>
      </c>
      <c r="R63" s="12"/>
      <c r="S63" s="12"/>
      <c r="T63" s="12" t="str">
        <f aca="false">IF(AND(COUNTIF(Competitions!A:A,B63)+COUNTIF(Ranking_Systems!A:A,B63)+COUNTIF(Olympic_Events!A:A,B63)+IF(OR(B63="HOST_USA",B63="TRIPARTITE"),1,0)&gt;0,COUNTIF(Competitions!A:A,D63)+COUNTIF(Ranking_Systems!A:A,D63)+COUNTIF(Olympic_Events!A:A,D63)&gt;0),"OK","BROKEN")</f>
        <v>OK</v>
      </c>
    </row>
    <row r="64" customFormat="false" ht="15" hidden="false" customHeight="false" outlineLevel="0" collapsed="false">
      <c r="A64" s="4" t="s">
        <v>629</v>
      </c>
      <c r="B64" s="4" t="s">
        <v>178</v>
      </c>
      <c r="C64" s="4" t="s">
        <v>515</v>
      </c>
      <c r="D64" s="4" t="s">
        <v>91</v>
      </c>
      <c r="E64" s="4" t="s">
        <v>530</v>
      </c>
      <c r="F64" s="4" t="s">
        <v>630</v>
      </c>
      <c r="G64" s="4" t="n">
        <v>1</v>
      </c>
      <c r="H64" s="11"/>
      <c r="I64" s="5" t="s">
        <v>631</v>
      </c>
      <c r="J64" s="5"/>
      <c r="K64" s="5"/>
      <c r="L64" s="5" t="s">
        <v>632</v>
      </c>
      <c r="M64" s="5" t="s">
        <v>633</v>
      </c>
      <c r="N64" s="4" t="n">
        <v>30</v>
      </c>
      <c r="O64" s="4"/>
      <c r="P64" s="4" t="s">
        <v>193</v>
      </c>
      <c r="Q64" s="4" t="s">
        <v>138</v>
      </c>
      <c r="R64" s="4"/>
      <c r="S64" s="4"/>
      <c r="T64" s="4" t="str">
        <f aca="false">IF(AND(COUNTIF(Competitions!A:A,B64)+COUNTIF(Ranking_Systems!A:A,B64)+COUNTIF(Olympic_Events!A:A,B64)+IF(OR(B64="HOST_USA",B64="TRIPARTITE"),1,0)&gt;0,COUNTIF(Competitions!A:A,D64)+COUNTIF(Ranking_Systems!A:A,D64)+COUNTIF(Olympic_Events!A:A,D64)&gt;0),"OK","BROKEN")</f>
        <v>OK</v>
      </c>
    </row>
    <row r="65" customFormat="false" ht="68.65" hidden="false" customHeight="false" outlineLevel="0" collapsed="false">
      <c r="A65" s="12" t="s">
        <v>634</v>
      </c>
      <c r="B65" s="12" t="s">
        <v>169</v>
      </c>
      <c r="C65" s="12" t="s">
        <v>515</v>
      </c>
      <c r="D65" s="12" t="s">
        <v>96</v>
      </c>
      <c r="E65" s="12" t="s">
        <v>530</v>
      </c>
      <c r="F65" s="12" t="s">
        <v>546</v>
      </c>
      <c r="G65" s="12" t="n">
        <v>4</v>
      </c>
      <c r="H65" s="11"/>
      <c r="I65" s="13" t="s">
        <v>635</v>
      </c>
      <c r="J65" s="13"/>
      <c r="K65" s="13"/>
      <c r="L65" s="13"/>
      <c r="M65" s="13" t="s">
        <v>636</v>
      </c>
      <c r="N65" s="12" t="n">
        <v>10</v>
      </c>
      <c r="O65" s="12"/>
      <c r="P65" s="12" t="s">
        <v>605</v>
      </c>
      <c r="Q65" s="12" t="s">
        <v>637</v>
      </c>
      <c r="R65" s="12"/>
      <c r="S65" s="12"/>
      <c r="T65" s="12" t="str">
        <f aca="false">IF(AND(COUNTIF(Competitions!A:A,B65)+COUNTIF(Ranking_Systems!A:A,B65)+COUNTIF(Olympic_Events!A:A,B65)+IF(OR(B65="HOST_USA",B65="TRIPARTITE"),1,0)&gt;0,COUNTIF(Competitions!A:A,D65)+COUNTIF(Ranking_Systems!A:A,D65)+COUNTIF(Olympic_Events!A:A,D65)&gt;0),"OK","BROKEN")</f>
        <v>OK</v>
      </c>
    </row>
    <row r="66" customFormat="false" ht="46.25" hidden="false" customHeight="false" outlineLevel="0" collapsed="false">
      <c r="A66" s="4" t="s">
        <v>638</v>
      </c>
      <c r="B66" s="4" t="s">
        <v>596</v>
      </c>
      <c r="C66" s="4" t="s">
        <v>597</v>
      </c>
      <c r="D66" s="4" t="s">
        <v>96</v>
      </c>
      <c r="E66" s="4" t="s">
        <v>530</v>
      </c>
      <c r="F66" s="4" t="s">
        <v>598</v>
      </c>
      <c r="G66" s="4" t="n">
        <v>1</v>
      </c>
      <c r="H66" s="11"/>
      <c r="I66" s="5" t="s">
        <v>614</v>
      </c>
      <c r="J66" s="5"/>
      <c r="K66" s="5"/>
      <c r="L66" s="5"/>
      <c r="M66" s="5" t="s">
        <v>639</v>
      </c>
      <c r="N66" s="4" t="n">
        <v>20</v>
      </c>
      <c r="O66" s="4" t="s">
        <v>640</v>
      </c>
      <c r="P66" s="4" t="s">
        <v>641</v>
      </c>
      <c r="Q66" s="4" t="s">
        <v>611</v>
      </c>
      <c r="R66" s="4"/>
      <c r="S66" s="4" t="s">
        <v>642</v>
      </c>
      <c r="T66" s="4" t="str">
        <f aca="false">IF(AND(COUNTIF(Competitions!A:A,B66)+COUNTIF(Ranking_Systems!A:A,B66)+COUNTIF(Olympic_Events!A:A,B66)+IF(OR(B66="HOST_USA",B66="TRIPARTITE"),1,0)&gt;0,COUNTIF(Competitions!A:A,D66)+COUNTIF(Ranking_Systems!A:A,D66)+COUNTIF(Olympic_Events!A:A,D66)&gt;0),"OK","BROKEN")</f>
        <v>OK</v>
      </c>
    </row>
    <row r="67" customFormat="false" ht="35.05" hidden="false" customHeight="false" outlineLevel="0" collapsed="false">
      <c r="A67" s="4" t="s">
        <v>643</v>
      </c>
      <c r="B67" s="4" t="s">
        <v>640</v>
      </c>
      <c r="C67" s="4" t="s">
        <v>517</v>
      </c>
      <c r="D67" s="4" t="s">
        <v>185</v>
      </c>
      <c r="E67" s="4" t="s">
        <v>515</v>
      </c>
      <c r="F67" s="4" t="s">
        <v>619</v>
      </c>
      <c r="G67" s="4"/>
      <c r="H67" s="4" t="n">
        <v>8</v>
      </c>
      <c r="I67" s="5" t="s">
        <v>644</v>
      </c>
      <c r="J67" s="5"/>
      <c r="K67" s="5" t="s">
        <v>645</v>
      </c>
      <c r="L67" s="5"/>
      <c r="M67" s="5" t="s">
        <v>646</v>
      </c>
      <c r="N67" s="4" t="n">
        <v>25</v>
      </c>
      <c r="O67" s="4"/>
      <c r="P67" s="4" t="s">
        <v>187</v>
      </c>
      <c r="Q67" s="4" t="s">
        <v>138</v>
      </c>
      <c r="R67" s="4"/>
      <c r="S67" s="4" t="s">
        <v>647</v>
      </c>
      <c r="T67" s="4" t="str">
        <f aca="false">IF(AND(COUNTIF(Competitions!A:A,B67)+COUNTIF(Ranking_Systems!A:A,B67)+COUNTIF(Olympic_Events!A:A,B67)+IF(OR(B67="HOST_USA",B67="TRIPARTITE"),1,0)&gt;0,COUNTIF(Competitions!A:A,D67)+COUNTIF(Ranking_Systems!A:A,D67)+COUNTIF(Olympic_Events!A:A,D67)&gt;0),"OK","BROKEN")</f>
        <v>OK</v>
      </c>
    </row>
    <row r="68" customFormat="false" ht="23.85" hidden="false" customHeight="false" outlineLevel="0" collapsed="false">
      <c r="A68" s="12" t="s">
        <v>648</v>
      </c>
      <c r="B68" s="12" t="s">
        <v>195</v>
      </c>
      <c r="C68" s="12" t="s">
        <v>515</v>
      </c>
      <c r="D68" s="12" t="s">
        <v>185</v>
      </c>
      <c r="E68" s="12" t="s">
        <v>515</v>
      </c>
      <c r="F68" s="12" t="s">
        <v>625</v>
      </c>
      <c r="G68" s="12"/>
      <c r="H68" s="12" t="n">
        <v>1</v>
      </c>
      <c r="I68" s="13" t="s">
        <v>649</v>
      </c>
      <c r="J68" s="13"/>
      <c r="K68" s="13" t="s">
        <v>627</v>
      </c>
      <c r="L68" s="13"/>
      <c r="M68" s="13" t="s">
        <v>650</v>
      </c>
      <c r="N68" s="12" t="n">
        <v>26</v>
      </c>
      <c r="O68" s="12"/>
      <c r="P68" s="12" t="s">
        <v>197</v>
      </c>
      <c r="Q68" s="12" t="s">
        <v>191</v>
      </c>
      <c r="R68" s="12"/>
      <c r="S68" s="12"/>
      <c r="T68" s="12" t="str">
        <f aca="false">IF(AND(COUNTIF(Competitions!A:A,B68)+COUNTIF(Ranking_Systems!A:A,B68)+COUNTIF(Olympic_Events!A:A,B68)+IF(OR(B68="HOST_USA",B68="TRIPARTITE"),1,0)&gt;0,COUNTIF(Competitions!A:A,D68)+COUNTIF(Ranking_Systems!A:A,D68)+COUNTIF(Olympic_Events!A:A,D68)&gt;0),"OK","BROKEN")</f>
        <v>OK</v>
      </c>
    </row>
    <row r="69" customFormat="false" ht="15" hidden="false" customHeight="false" outlineLevel="0" collapsed="false">
      <c r="A69" s="4" t="s">
        <v>651</v>
      </c>
      <c r="B69" s="4" t="s">
        <v>185</v>
      </c>
      <c r="C69" s="4" t="s">
        <v>515</v>
      </c>
      <c r="D69" s="4" t="s">
        <v>96</v>
      </c>
      <c r="E69" s="4" t="s">
        <v>530</v>
      </c>
      <c r="F69" s="4" t="s">
        <v>630</v>
      </c>
      <c r="G69" s="4" t="n">
        <v>1</v>
      </c>
      <c r="H69" s="11"/>
      <c r="I69" s="5" t="s">
        <v>652</v>
      </c>
      <c r="J69" s="5"/>
      <c r="K69" s="5"/>
      <c r="L69" s="5" t="s">
        <v>632</v>
      </c>
      <c r="M69" s="5" t="s">
        <v>653</v>
      </c>
      <c r="N69" s="4" t="n">
        <v>30</v>
      </c>
      <c r="O69" s="4"/>
      <c r="P69" s="4" t="s">
        <v>197</v>
      </c>
      <c r="Q69" s="4" t="s">
        <v>138</v>
      </c>
      <c r="R69" s="4"/>
      <c r="S69" s="4"/>
      <c r="T69" s="4" t="str">
        <f aca="false">IF(AND(COUNTIF(Competitions!A:A,B69)+COUNTIF(Ranking_Systems!A:A,B69)+COUNTIF(Olympic_Events!A:A,B69)+IF(OR(B69="HOST_USA",B69="TRIPARTITE"),1,0)&gt;0,COUNTIF(Competitions!A:A,D69)+COUNTIF(Ranking_Systems!A:A,D69)+COUNTIF(Olympic_Events!A:A,D69)&gt;0),"OK","BROKEN")</f>
        <v>OK</v>
      </c>
    </row>
    <row r="70" customFormat="false" ht="15" hidden="false" customHeight="false" outlineLevel="0" collapsed="false">
      <c r="A70" s="4" t="s">
        <v>654</v>
      </c>
      <c r="B70" s="4" t="s">
        <v>473</v>
      </c>
      <c r="C70" s="4" t="s">
        <v>515</v>
      </c>
      <c r="D70" s="4" t="s">
        <v>607</v>
      </c>
      <c r="E70" s="4" t="s">
        <v>517</v>
      </c>
      <c r="F70" s="4" t="s">
        <v>518</v>
      </c>
      <c r="G70" s="4"/>
      <c r="H70" s="11"/>
      <c r="I70" s="5" t="s">
        <v>655</v>
      </c>
      <c r="J70" s="5"/>
      <c r="K70" s="5"/>
      <c r="L70" s="5"/>
      <c r="M70" s="5" t="s">
        <v>656</v>
      </c>
      <c r="N70" s="4" t="n">
        <v>0</v>
      </c>
      <c r="O70" s="4"/>
      <c r="P70" s="4" t="s">
        <v>657</v>
      </c>
      <c r="Q70" s="4" t="s">
        <v>138</v>
      </c>
      <c r="R70" s="4"/>
      <c r="S70" s="4"/>
      <c r="T70" s="4" t="str">
        <f aca="false">IF(AND(COUNTIF(Competitions!A:A,B70)+COUNTIF(Ranking_Systems!A:A,B70)+COUNTIF(Olympic_Events!A:A,B70)+IF(OR(B70="HOST_USA",B70="TRIPARTITE"),1,0)&gt;0,COUNTIF(Competitions!A:A,D70)+COUNTIF(Ranking_Systems!A:A,D70)+COUNTIF(Olympic_Events!A:A,D70)&gt;0),"OK","BROKEN")</f>
        <v>OK</v>
      </c>
    </row>
    <row r="71" customFormat="false" ht="15" hidden="false" customHeight="false" outlineLevel="0" collapsed="false">
      <c r="A71" s="4" t="s">
        <v>658</v>
      </c>
      <c r="B71" s="4" t="s">
        <v>480</v>
      </c>
      <c r="C71" s="4" t="s">
        <v>515</v>
      </c>
      <c r="D71" s="4" t="s">
        <v>607</v>
      </c>
      <c r="E71" s="4" t="s">
        <v>517</v>
      </c>
      <c r="F71" s="4" t="s">
        <v>518</v>
      </c>
      <c r="G71" s="4"/>
      <c r="H71" s="11"/>
      <c r="I71" s="5" t="s">
        <v>655</v>
      </c>
      <c r="J71" s="5"/>
      <c r="K71" s="5"/>
      <c r="L71" s="5"/>
      <c r="M71" s="5" t="s">
        <v>656</v>
      </c>
      <c r="N71" s="4" t="n">
        <v>0</v>
      </c>
      <c r="O71" s="4"/>
      <c r="P71" s="4" t="s">
        <v>657</v>
      </c>
      <c r="Q71" s="4" t="s">
        <v>138</v>
      </c>
      <c r="R71" s="4"/>
      <c r="S71" s="4"/>
      <c r="T71" s="4" t="str">
        <f aca="false">IF(AND(COUNTIF(Competitions!A:A,B71)+COUNTIF(Ranking_Systems!A:A,B71)+COUNTIF(Olympic_Events!A:A,B71)+IF(OR(B71="HOST_USA",B71="TRIPARTITE"),1,0)&gt;0,COUNTIF(Competitions!A:A,D71)+COUNTIF(Ranking_Systems!A:A,D71)+COUNTIF(Olympic_Events!A:A,D71)&gt;0),"OK","BROKEN")</f>
        <v>OK</v>
      </c>
    </row>
    <row r="72" customFormat="false" ht="15" hidden="false" customHeight="false" outlineLevel="0" collapsed="false">
      <c r="A72" s="4" t="s">
        <v>659</v>
      </c>
      <c r="B72" s="4" t="s">
        <v>486</v>
      </c>
      <c r="C72" s="4" t="s">
        <v>515</v>
      </c>
      <c r="D72" s="4" t="s">
        <v>607</v>
      </c>
      <c r="E72" s="4" t="s">
        <v>517</v>
      </c>
      <c r="F72" s="4" t="s">
        <v>518</v>
      </c>
      <c r="G72" s="4"/>
      <c r="H72" s="11"/>
      <c r="I72" s="5" t="s">
        <v>655</v>
      </c>
      <c r="J72" s="5"/>
      <c r="K72" s="5"/>
      <c r="L72" s="5"/>
      <c r="M72" s="5" t="s">
        <v>656</v>
      </c>
      <c r="N72" s="4" t="n">
        <v>0</v>
      </c>
      <c r="O72" s="4"/>
      <c r="P72" s="4" t="s">
        <v>657</v>
      </c>
      <c r="Q72" s="4" t="s">
        <v>138</v>
      </c>
      <c r="R72" s="4"/>
      <c r="S72" s="4"/>
      <c r="T72" s="4" t="str">
        <f aca="false">IF(AND(COUNTIF(Competitions!A:A,B72)+COUNTIF(Ranking_Systems!A:A,B72)+COUNTIF(Olympic_Events!A:A,B72)+IF(OR(B72="HOST_USA",B72="TRIPARTITE"),1,0)&gt;0,COUNTIF(Competitions!A:A,D72)+COUNTIF(Ranking_Systems!A:A,D72)+COUNTIF(Olympic_Events!A:A,D72)&gt;0),"OK","BROKEN")</f>
        <v>OK</v>
      </c>
    </row>
    <row r="73" customFormat="false" ht="15" hidden="false" customHeight="false" outlineLevel="0" collapsed="false">
      <c r="A73" s="4" t="s">
        <v>660</v>
      </c>
      <c r="B73" s="4" t="s">
        <v>431</v>
      </c>
      <c r="C73" s="4" t="s">
        <v>515</v>
      </c>
      <c r="D73" s="4" t="s">
        <v>607</v>
      </c>
      <c r="E73" s="4" t="s">
        <v>517</v>
      </c>
      <c r="F73" s="4" t="s">
        <v>518</v>
      </c>
      <c r="G73" s="4"/>
      <c r="H73" s="11"/>
      <c r="I73" s="5" t="s">
        <v>655</v>
      </c>
      <c r="J73" s="5"/>
      <c r="K73" s="5"/>
      <c r="L73" s="5"/>
      <c r="M73" s="5" t="s">
        <v>656</v>
      </c>
      <c r="N73" s="4" t="n">
        <v>0</v>
      </c>
      <c r="O73" s="4"/>
      <c r="P73" s="4" t="s">
        <v>657</v>
      </c>
      <c r="Q73" s="4" t="s">
        <v>138</v>
      </c>
      <c r="R73" s="4"/>
      <c r="S73" s="4"/>
      <c r="T73" s="4" t="str">
        <f aca="false">IF(AND(COUNTIF(Competitions!A:A,B73)+COUNTIF(Ranking_Systems!A:A,B73)+COUNTIF(Olympic_Events!A:A,B73)+IF(OR(B73="HOST_USA",B73="TRIPARTITE"),1,0)&gt;0,COUNTIF(Competitions!A:A,D73)+COUNTIF(Ranking_Systems!A:A,D73)+COUNTIF(Olympic_Events!A:A,D73)&gt;0),"OK","BROKEN")</f>
        <v>OK</v>
      </c>
    </row>
    <row r="74" customFormat="false" ht="15" hidden="false" customHeight="false" outlineLevel="0" collapsed="false">
      <c r="A74" s="4" t="s">
        <v>661</v>
      </c>
      <c r="B74" s="4" t="s">
        <v>435</v>
      </c>
      <c r="C74" s="4" t="s">
        <v>515</v>
      </c>
      <c r="D74" s="4" t="s">
        <v>607</v>
      </c>
      <c r="E74" s="4" t="s">
        <v>517</v>
      </c>
      <c r="F74" s="4" t="s">
        <v>518</v>
      </c>
      <c r="G74" s="4"/>
      <c r="H74" s="11"/>
      <c r="I74" s="5" t="s">
        <v>655</v>
      </c>
      <c r="J74" s="5"/>
      <c r="K74" s="5"/>
      <c r="L74" s="5"/>
      <c r="M74" s="5" t="s">
        <v>656</v>
      </c>
      <c r="N74" s="4" t="n">
        <v>0</v>
      </c>
      <c r="O74" s="4"/>
      <c r="P74" s="4" t="s">
        <v>657</v>
      </c>
      <c r="Q74" s="4" t="s">
        <v>138</v>
      </c>
      <c r="R74" s="4"/>
      <c r="S74" s="4"/>
      <c r="T74" s="4" t="str">
        <f aca="false">IF(AND(COUNTIF(Competitions!A:A,B74)+COUNTIF(Ranking_Systems!A:A,B74)+COUNTIF(Olympic_Events!A:A,B74)+IF(OR(B74="HOST_USA",B74="TRIPARTITE"),1,0)&gt;0,COUNTIF(Competitions!A:A,D74)+COUNTIF(Ranking_Systems!A:A,D74)+COUNTIF(Olympic_Events!A:A,D74)&gt;0),"OK","BROKEN")</f>
        <v>OK</v>
      </c>
    </row>
    <row r="75" customFormat="false" ht="15" hidden="false" customHeight="false" outlineLevel="0" collapsed="false">
      <c r="A75" s="4" t="s">
        <v>662</v>
      </c>
      <c r="B75" s="4" t="s">
        <v>475</v>
      </c>
      <c r="C75" s="4" t="s">
        <v>515</v>
      </c>
      <c r="D75" s="4" t="s">
        <v>640</v>
      </c>
      <c r="E75" s="4" t="s">
        <v>517</v>
      </c>
      <c r="F75" s="4" t="s">
        <v>518</v>
      </c>
      <c r="G75" s="4"/>
      <c r="H75" s="11"/>
      <c r="I75" s="5" t="s">
        <v>663</v>
      </c>
      <c r="J75" s="5"/>
      <c r="K75" s="5"/>
      <c r="L75" s="5"/>
      <c r="M75" s="5" t="s">
        <v>664</v>
      </c>
      <c r="N75" s="4" t="n">
        <v>0</v>
      </c>
      <c r="O75" s="4"/>
      <c r="P75" s="4" t="s">
        <v>187</v>
      </c>
      <c r="Q75" s="4" t="s">
        <v>138</v>
      </c>
      <c r="R75" s="4"/>
      <c r="S75" s="4"/>
      <c r="T75" s="4" t="str">
        <f aca="false">IF(AND(COUNTIF(Competitions!A:A,B75)+COUNTIF(Ranking_Systems!A:A,B75)+COUNTIF(Olympic_Events!A:A,B75)+IF(OR(B75="HOST_USA",B75="TRIPARTITE"),1,0)&gt;0,COUNTIF(Competitions!A:A,D75)+COUNTIF(Ranking_Systems!A:A,D75)+COUNTIF(Olympic_Events!A:A,D75)&gt;0),"OK","BROKEN")</f>
        <v>OK</v>
      </c>
    </row>
    <row r="76" customFormat="false" ht="15" hidden="false" customHeight="false" outlineLevel="0" collapsed="false">
      <c r="A76" s="4" t="s">
        <v>665</v>
      </c>
      <c r="B76" s="4" t="s">
        <v>477</v>
      </c>
      <c r="C76" s="4" t="s">
        <v>515</v>
      </c>
      <c r="D76" s="4" t="s">
        <v>640</v>
      </c>
      <c r="E76" s="4" t="s">
        <v>517</v>
      </c>
      <c r="F76" s="4" t="s">
        <v>518</v>
      </c>
      <c r="G76" s="4"/>
      <c r="H76" s="11"/>
      <c r="I76" s="5" t="s">
        <v>663</v>
      </c>
      <c r="J76" s="5"/>
      <c r="K76" s="5"/>
      <c r="L76" s="5"/>
      <c r="M76" s="5" t="s">
        <v>664</v>
      </c>
      <c r="N76" s="4" t="n">
        <v>0</v>
      </c>
      <c r="O76" s="4"/>
      <c r="P76" s="4" t="s">
        <v>187</v>
      </c>
      <c r="Q76" s="4" t="s">
        <v>138</v>
      </c>
      <c r="R76" s="4"/>
      <c r="S76" s="4"/>
      <c r="T76" s="4" t="str">
        <f aca="false">IF(AND(COUNTIF(Competitions!A:A,B76)+COUNTIF(Ranking_Systems!A:A,B76)+COUNTIF(Olympic_Events!A:A,B76)+IF(OR(B76="HOST_USA",B76="TRIPARTITE"),1,0)&gt;0,COUNTIF(Competitions!A:A,D76)+COUNTIF(Ranking_Systems!A:A,D76)+COUNTIF(Olympic_Events!A:A,D76)&gt;0),"OK","BROKEN")</f>
        <v>OK</v>
      </c>
    </row>
    <row r="77" customFormat="false" ht="15" hidden="false" customHeight="false" outlineLevel="0" collapsed="false">
      <c r="A77" s="4" t="s">
        <v>666</v>
      </c>
      <c r="B77" s="4" t="s">
        <v>437</v>
      </c>
      <c r="C77" s="4" t="s">
        <v>515</v>
      </c>
      <c r="D77" s="4" t="s">
        <v>640</v>
      </c>
      <c r="E77" s="4" t="s">
        <v>517</v>
      </c>
      <c r="F77" s="4" t="s">
        <v>518</v>
      </c>
      <c r="G77" s="4"/>
      <c r="H77" s="11"/>
      <c r="I77" s="5" t="s">
        <v>663</v>
      </c>
      <c r="J77" s="5"/>
      <c r="K77" s="5"/>
      <c r="L77" s="5"/>
      <c r="M77" s="5" t="s">
        <v>664</v>
      </c>
      <c r="N77" s="4" t="n">
        <v>0</v>
      </c>
      <c r="O77" s="4"/>
      <c r="P77" s="4" t="s">
        <v>187</v>
      </c>
      <c r="Q77" s="4" t="s">
        <v>138</v>
      </c>
      <c r="R77" s="4"/>
      <c r="S77" s="4"/>
      <c r="T77" s="4" t="str">
        <f aca="false">IF(AND(COUNTIF(Competitions!A:A,B77)+COUNTIF(Ranking_Systems!A:A,B77)+COUNTIF(Olympic_Events!A:A,B77)+IF(OR(B77="HOST_USA",B77="TRIPARTITE"),1,0)&gt;0,COUNTIF(Competitions!A:A,D77)+COUNTIF(Ranking_Systems!A:A,D77)+COUNTIF(Olympic_Events!A:A,D77)&gt;0),"OK","BROKEN")</f>
        <v>OK</v>
      </c>
    </row>
    <row r="78" customFormat="false" ht="15" hidden="false" customHeight="false" outlineLevel="0" collapsed="false">
      <c r="A78" s="4" t="s">
        <v>667</v>
      </c>
      <c r="B78" s="4" t="s">
        <v>169</v>
      </c>
      <c r="C78" s="4" t="s">
        <v>515</v>
      </c>
      <c r="D78" s="4" t="s">
        <v>640</v>
      </c>
      <c r="E78" s="4" t="s">
        <v>517</v>
      </c>
      <c r="F78" s="4" t="s">
        <v>518</v>
      </c>
      <c r="G78" s="4"/>
      <c r="H78" s="11"/>
      <c r="I78" s="5" t="s">
        <v>663</v>
      </c>
      <c r="J78" s="5"/>
      <c r="K78" s="5"/>
      <c r="L78" s="5"/>
      <c r="M78" s="5" t="s">
        <v>664</v>
      </c>
      <c r="N78" s="4" t="n">
        <v>0</v>
      </c>
      <c r="O78" s="4"/>
      <c r="P78" s="4" t="s">
        <v>187</v>
      </c>
      <c r="Q78" s="4" t="s">
        <v>138</v>
      </c>
      <c r="R78" s="4"/>
      <c r="S78" s="4"/>
      <c r="T78" s="4" t="str">
        <f aca="false">IF(AND(COUNTIF(Competitions!A:A,B78)+COUNTIF(Ranking_Systems!A:A,B78)+COUNTIF(Olympic_Events!A:A,B78)+IF(OR(B78="HOST_USA",B78="TRIPARTITE"),1,0)&gt;0,COUNTIF(Competitions!A:A,D78)+COUNTIF(Ranking_Systems!A:A,D78)+COUNTIF(Olympic_Events!A:A,D78)&gt;0),"OK","BROKEN")</f>
        <v>OK</v>
      </c>
    </row>
    <row r="79" customFormat="false" ht="15" hidden="false" customHeight="false" outlineLevel="0" collapsed="false">
      <c r="A79" s="4" t="s">
        <v>668</v>
      </c>
      <c r="B79" s="4" t="s">
        <v>596</v>
      </c>
      <c r="C79" s="4" t="s">
        <v>597</v>
      </c>
      <c r="D79" s="4" t="s">
        <v>98</v>
      </c>
      <c r="E79" s="4" t="s">
        <v>530</v>
      </c>
      <c r="F79" s="4" t="s">
        <v>598</v>
      </c>
      <c r="G79" s="4" t="n">
        <v>1</v>
      </c>
      <c r="H79" s="11"/>
      <c r="I79" s="5" t="s">
        <v>669</v>
      </c>
      <c r="J79" s="5"/>
      <c r="K79" s="5"/>
      <c r="L79" s="5"/>
      <c r="M79" s="5" t="s">
        <v>670</v>
      </c>
      <c r="N79" s="4" t="n">
        <v>10</v>
      </c>
      <c r="O79" s="4"/>
      <c r="P79" s="4" t="s">
        <v>101</v>
      </c>
      <c r="Q79" s="4" t="s">
        <v>216</v>
      </c>
      <c r="R79" s="4"/>
      <c r="S79" s="4"/>
      <c r="T79" s="4" t="str">
        <f aca="false">IF(AND(COUNTIF(Competitions!A:A,B79)+COUNTIF(Ranking_Systems!A:A,B79)+COUNTIF(Olympic_Events!A:A,B79)+IF(OR(B79="HOST_USA",B79="TRIPARTITE"),1,0)&gt;0,COUNTIF(Competitions!A:A,D79)+COUNTIF(Ranking_Systems!A:A,D79)+COUNTIF(Olympic_Events!A:A,D79)&gt;0),"OK","BROKEN")</f>
        <v>OK</v>
      </c>
    </row>
    <row r="80" customFormat="false" ht="46.25" hidden="false" customHeight="false" outlineLevel="0" collapsed="false">
      <c r="A80" s="4" t="s">
        <v>671</v>
      </c>
      <c r="B80" s="4" t="s">
        <v>199</v>
      </c>
      <c r="C80" s="4" t="s">
        <v>515</v>
      </c>
      <c r="D80" s="4" t="s">
        <v>98</v>
      </c>
      <c r="E80" s="4" t="s">
        <v>530</v>
      </c>
      <c r="F80" s="4" t="s">
        <v>546</v>
      </c>
      <c r="G80" s="4" t="n">
        <v>3</v>
      </c>
      <c r="H80" s="11"/>
      <c r="I80" s="5" t="s">
        <v>672</v>
      </c>
      <c r="J80" s="5"/>
      <c r="K80" s="5"/>
      <c r="L80" s="5" t="s">
        <v>673</v>
      </c>
      <c r="M80" s="5" t="s">
        <v>674</v>
      </c>
      <c r="N80" s="4" t="n">
        <v>20</v>
      </c>
      <c r="O80" s="4"/>
      <c r="P80" s="4" t="s">
        <v>101</v>
      </c>
      <c r="Q80" s="4" t="s">
        <v>216</v>
      </c>
      <c r="R80" s="4"/>
      <c r="S80" s="4"/>
      <c r="T80" s="4" t="str">
        <f aca="false">IF(AND(COUNTIF(Competitions!A:A,B80)+COUNTIF(Ranking_Systems!A:A,B80)+COUNTIF(Olympic_Events!A:A,B80)+IF(OR(B80="HOST_USA",B80="TRIPARTITE"),1,0)&gt;0,COUNTIF(Competitions!A:A,D80)+COUNTIF(Ranking_Systems!A:A,D80)+COUNTIF(Olympic_Events!A:A,D80)&gt;0),"OK","BROKEN")</f>
        <v>OK</v>
      </c>
    </row>
    <row r="81" customFormat="false" ht="15" hidden="false" customHeight="false" outlineLevel="0" collapsed="false">
      <c r="A81" s="4" t="s">
        <v>675</v>
      </c>
      <c r="B81" s="4" t="s">
        <v>223</v>
      </c>
      <c r="C81" s="4" t="s">
        <v>515</v>
      </c>
      <c r="D81" s="4" t="s">
        <v>98</v>
      </c>
      <c r="E81" s="4" t="s">
        <v>530</v>
      </c>
      <c r="F81" s="4" t="s">
        <v>630</v>
      </c>
      <c r="G81" s="4" t="n">
        <v>2</v>
      </c>
      <c r="H81" s="11"/>
      <c r="I81" s="5" t="s">
        <v>676</v>
      </c>
      <c r="J81" s="5"/>
      <c r="K81" s="5"/>
      <c r="L81" s="5"/>
      <c r="M81" s="5" t="s">
        <v>677</v>
      </c>
      <c r="N81" s="4" t="n">
        <v>20</v>
      </c>
      <c r="O81" s="4"/>
      <c r="P81" s="4" t="s">
        <v>101</v>
      </c>
      <c r="Q81" s="4" t="s">
        <v>221</v>
      </c>
      <c r="R81" s="4"/>
      <c r="S81" s="4"/>
      <c r="T81" s="4" t="str">
        <f aca="false">IF(AND(COUNTIF(Competitions!A:A,B81)+COUNTIF(Ranking_Systems!A:A,B81)+COUNTIF(Olympic_Events!A:A,B81)+IF(OR(B81="HOST_USA",B81="TRIPARTITE"),1,0)&gt;0,COUNTIF(Competitions!A:A,D81)+COUNTIF(Ranking_Systems!A:A,D81)+COUNTIF(Olympic_Events!A:A,D81)&gt;0),"OK","BROKEN")</f>
        <v>OK</v>
      </c>
    </row>
    <row r="82" customFormat="false" ht="15" hidden="false" customHeight="false" outlineLevel="0" collapsed="false">
      <c r="A82" s="4" t="s">
        <v>678</v>
      </c>
      <c r="B82" s="4" t="s">
        <v>227</v>
      </c>
      <c r="C82" s="4" t="s">
        <v>515</v>
      </c>
      <c r="D82" s="4" t="s">
        <v>98</v>
      </c>
      <c r="E82" s="4" t="s">
        <v>530</v>
      </c>
      <c r="F82" s="4" t="s">
        <v>630</v>
      </c>
      <c r="G82" s="4" t="n">
        <v>2</v>
      </c>
      <c r="H82" s="11"/>
      <c r="I82" s="5" t="s">
        <v>679</v>
      </c>
      <c r="J82" s="5"/>
      <c r="K82" s="5"/>
      <c r="L82" s="5"/>
      <c r="M82" s="5" t="s">
        <v>677</v>
      </c>
      <c r="N82" s="4" t="n">
        <v>20</v>
      </c>
      <c r="O82" s="4"/>
      <c r="P82" s="4" t="s">
        <v>101</v>
      </c>
      <c r="Q82" s="4" t="s">
        <v>221</v>
      </c>
      <c r="R82" s="4"/>
      <c r="S82" s="4"/>
      <c r="T82" s="4" t="str">
        <f aca="false">IF(AND(COUNTIF(Competitions!A:A,B82)+COUNTIF(Ranking_Systems!A:A,B82)+COUNTIF(Olympic_Events!A:A,B82)+IF(OR(B82="HOST_USA",B82="TRIPARTITE"),1,0)&gt;0,COUNTIF(Competitions!A:A,D82)+COUNTIF(Ranking_Systems!A:A,D82)+COUNTIF(Olympic_Events!A:A,D82)&gt;0),"OK","BROKEN")</f>
        <v>OK</v>
      </c>
    </row>
    <row r="83" customFormat="false" ht="35.05" hidden="false" customHeight="false" outlineLevel="0" collapsed="false">
      <c r="A83" s="4" t="s">
        <v>680</v>
      </c>
      <c r="B83" s="4" t="s">
        <v>336</v>
      </c>
      <c r="C83" s="4" t="s">
        <v>515</v>
      </c>
      <c r="D83" s="4" t="s">
        <v>98</v>
      </c>
      <c r="E83" s="4" t="s">
        <v>530</v>
      </c>
      <c r="F83" s="4" t="s">
        <v>630</v>
      </c>
      <c r="G83" s="4" t="n">
        <v>1</v>
      </c>
      <c r="H83" s="11"/>
      <c r="I83" s="5" t="s">
        <v>681</v>
      </c>
      <c r="J83" s="5"/>
      <c r="K83" s="5"/>
      <c r="L83" s="5" t="s">
        <v>682</v>
      </c>
      <c r="M83" s="5" t="s">
        <v>683</v>
      </c>
      <c r="N83" s="4" t="n">
        <v>20</v>
      </c>
      <c r="O83" s="4"/>
      <c r="P83" s="4" t="s">
        <v>101</v>
      </c>
      <c r="Q83" s="4" t="s">
        <v>684</v>
      </c>
      <c r="R83" s="4"/>
      <c r="S83" s="4"/>
      <c r="T83" s="4" t="str">
        <f aca="false">IF(AND(COUNTIF(Competitions!A:A,B83)+COUNTIF(Ranking_Systems!A:A,B83)+COUNTIF(Olympic_Events!A:A,B83)+IF(OR(B83="HOST_USA",B83="TRIPARTITE"),1,0)&gt;0,COUNTIF(Competitions!A:A,D83)+COUNTIF(Ranking_Systems!A:A,D83)+COUNTIF(Olympic_Events!A:A,D83)&gt;0),"OK","BROKEN")</f>
        <v>OK</v>
      </c>
    </row>
    <row r="84" customFormat="false" ht="15" hidden="false" customHeight="false" outlineLevel="0" collapsed="false">
      <c r="A84" s="4" t="s">
        <v>685</v>
      </c>
      <c r="B84" s="4" t="s">
        <v>231</v>
      </c>
      <c r="C84" s="4" t="s">
        <v>515</v>
      </c>
      <c r="D84" s="4" t="s">
        <v>98</v>
      </c>
      <c r="E84" s="4" t="s">
        <v>530</v>
      </c>
      <c r="F84" s="4" t="s">
        <v>630</v>
      </c>
      <c r="G84" s="4" t="n">
        <v>2</v>
      </c>
      <c r="H84" s="11"/>
      <c r="I84" s="5" t="s">
        <v>686</v>
      </c>
      <c r="J84" s="5"/>
      <c r="K84" s="5"/>
      <c r="L84" s="5"/>
      <c r="M84" s="5" t="s">
        <v>687</v>
      </c>
      <c r="N84" s="4" t="n">
        <v>20</v>
      </c>
      <c r="O84" s="4"/>
      <c r="P84" s="4" t="s">
        <v>101</v>
      </c>
      <c r="Q84" s="4" t="s">
        <v>221</v>
      </c>
      <c r="R84" s="4"/>
      <c r="S84" s="4"/>
      <c r="T84" s="4" t="str">
        <f aca="false">IF(AND(COUNTIF(Competitions!A:A,B84)+COUNTIF(Ranking_Systems!A:A,B84)+COUNTIF(Olympic_Events!A:A,B84)+IF(OR(B84="HOST_USA",B84="TRIPARTITE"),1,0)&gt;0,COUNTIF(Competitions!A:A,D84)+COUNTIF(Ranking_Systems!A:A,D84)+COUNTIF(Olympic_Events!A:A,D84)&gt;0),"OK","BROKEN")</f>
        <v>OK</v>
      </c>
    </row>
    <row r="85" customFormat="false" ht="15" hidden="false" customHeight="false" outlineLevel="0" collapsed="false">
      <c r="A85" s="4" t="s">
        <v>688</v>
      </c>
      <c r="B85" s="4" t="s">
        <v>235</v>
      </c>
      <c r="C85" s="4" t="s">
        <v>515</v>
      </c>
      <c r="D85" s="4" t="s">
        <v>98</v>
      </c>
      <c r="E85" s="4" t="s">
        <v>530</v>
      </c>
      <c r="F85" s="4" t="s">
        <v>630</v>
      </c>
      <c r="G85" s="4" t="n">
        <v>1</v>
      </c>
      <c r="H85" s="11"/>
      <c r="I85" s="5" t="s">
        <v>689</v>
      </c>
      <c r="J85" s="5"/>
      <c r="K85" s="5"/>
      <c r="L85" s="5"/>
      <c r="M85" s="5" t="s">
        <v>687</v>
      </c>
      <c r="N85" s="4" t="n">
        <v>20</v>
      </c>
      <c r="O85" s="4"/>
      <c r="P85" s="4" t="s">
        <v>101</v>
      </c>
      <c r="Q85" s="4" t="s">
        <v>221</v>
      </c>
      <c r="R85" s="4"/>
      <c r="S85" s="4"/>
      <c r="T85" s="4" t="str">
        <f aca="false">IF(AND(COUNTIF(Competitions!A:A,B85)+COUNTIF(Ranking_Systems!A:A,B85)+COUNTIF(Olympic_Events!A:A,B85)+IF(OR(B85="HOST_USA",B85="TRIPARTITE"),1,0)&gt;0,COUNTIF(Competitions!A:A,D85)+COUNTIF(Ranking_Systems!A:A,D85)+COUNTIF(Olympic_Events!A:A,D85)&gt;0),"OK","BROKEN")</f>
        <v>OK</v>
      </c>
    </row>
    <row r="86" customFormat="false" ht="23.85" hidden="false" customHeight="false" outlineLevel="0" collapsed="false">
      <c r="A86" s="4" t="s">
        <v>690</v>
      </c>
      <c r="B86" s="4" t="s">
        <v>209</v>
      </c>
      <c r="C86" s="4" t="s">
        <v>515</v>
      </c>
      <c r="D86" s="4" t="s">
        <v>199</v>
      </c>
      <c r="E86" s="4" t="s">
        <v>515</v>
      </c>
      <c r="F86" s="4" t="s">
        <v>625</v>
      </c>
      <c r="G86" s="4"/>
      <c r="H86" s="4" t="n">
        <v>10</v>
      </c>
      <c r="I86" s="5" t="s">
        <v>691</v>
      </c>
      <c r="J86" s="5"/>
      <c r="K86" s="5"/>
      <c r="L86" s="5"/>
      <c r="M86" s="5" t="s">
        <v>692</v>
      </c>
      <c r="N86" s="4" t="n">
        <v>0</v>
      </c>
      <c r="O86" s="4"/>
      <c r="P86" s="4" t="s">
        <v>101</v>
      </c>
      <c r="Q86" s="4" t="s">
        <v>216</v>
      </c>
      <c r="R86" s="4"/>
      <c r="S86" s="4"/>
      <c r="T86" s="4" t="str">
        <f aca="false">IF(AND(COUNTIF(Competitions!A:A,B86)+COUNTIF(Ranking_Systems!A:A,B86)+COUNTIF(Olympic_Events!A:A,B86)+IF(OR(B86="HOST_USA",B86="TRIPARTITE"),1,0)&gt;0,COUNTIF(Competitions!A:A,D86)+COUNTIF(Ranking_Systems!A:A,D86)+COUNTIF(Olympic_Events!A:A,D86)&gt;0),"OK","BROKEN")</f>
        <v>OK</v>
      </c>
    </row>
    <row r="87" customFormat="false" ht="23.85" hidden="false" customHeight="false" outlineLevel="0" collapsed="false">
      <c r="A87" s="4" t="s">
        <v>693</v>
      </c>
      <c r="B87" s="4" t="s">
        <v>218</v>
      </c>
      <c r="C87" s="4" t="s">
        <v>515</v>
      </c>
      <c r="D87" s="4" t="s">
        <v>336</v>
      </c>
      <c r="E87" s="4" t="s">
        <v>515</v>
      </c>
      <c r="F87" s="4" t="s">
        <v>625</v>
      </c>
      <c r="G87" s="4"/>
      <c r="H87" s="11"/>
      <c r="I87" s="5" t="s">
        <v>694</v>
      </c>
      <c r="J87" s="5" t="s">
        <v>695</v>
      </c>
      <c r="K87" s="5"/>
      <c r="L87" s="5"/>
      <c r="M87" s="5"/>
      <c r="N87" s="4" t="n">
        <v>0</v>
      </c>
      <c r="O87" s="4"/>
      <c r="P87" s="4" t="s">
        <v>101</v>
      </c>
      <c r="Q87" s="4" t="s">
        <v>221</v>
      </c>
      <c r="R87" s="4"/>
      <c r="S87" s="4"/>
      <c r="T87" s="4" t="str">
        <f aca="false">IF(AND(COUNTIF(Competitions!A:A,B87)+COUNTIF(Ranking_Systems!A:A,B87)+COUNTIF(Olympic_Events!A:A,B87)+IF(OR(B87="HOST_USA",B87="TRIPARTITE"),1,0)&gt;0,COUNTIF(Competitions!A:A,D87)+COUNTIF(Ranking_Systems!A:A,D87)+COUNTIF(Olympic_Events!A:A,D87)&gt;0),"OK","BROKEN")</f>
        <v>OK</v>
      </c>
    </row>
    <row r="88" customFormat="false" ht="15" hidden="false" customHeight="false" outlineLevel="0" collapsed="false">
      <c r="A88" s="4" t="s">
        <v>696</v>
      </c>
      <c r="B88" s="4" t="s">
        <v>596</v>
      </c>
      <c r="C88" s="4" t="s">
        <v>597</v>
      </c>
      <c r="D88" s="4" t="s">
        <v>103</v>
      </c>
      <c r="E88" s="4" t="s">
        <v>530</v>
      </c>
      <c r="F88" s="4" t="s">
        <v>598</v>
      </c>
      <c r="G88" s="4" t="n">
        <v>1</v>
      </c>
      <c r="H88" s="11"/>
      <c r="I88" s="5" t="s">
        <v>669</v>
      </c>
      <c r="J88" s="5"/>
      <c r="K88" s="5"/>
      <c r="L88" s="5"/>
      <c r="M88" s="5" t="s">
        <v>670</v>
      </c>
      <c r="N88" s="4" t="n">
        <v>10</v>
      </c>
      <c r="O88" s="4"/>
      <c r="P88" s="4" t="s">
        <v>105</v>
      </c>
      <c r="Q88" s="4" t="s">
        <v>216</v>
      </c>
      <c r="R88" s="4"/>
      <c r="S88" s="4"/>
      <c r="T88" s="4" t="str">
        <f aca="false">IF(AND(COUNTIF(Competitions!A:A,B88)+COUNTIF(Ranking_Systems!A:A,B88)+COUNTIF(Olympic_Events!A:A,B88)+IF(OR(B88="HOST_USA",B88="TRIPARTITE"),1,0)&gt;0,COUNTIF(Competitions!A:A,D88)+COUNTIF(Ranking_Systems!A:A,D88)+COUNTIF(Olympic_Events!A:A,D88)&gt;0),"OK","BROKEN")</f>
        <v>OK</v>
      </c>
    </row>
    <row r="89" customFormat="false" ht="35.05" hidden="false" customHeight="false" outlineLevel="0" collapsed="false">
      <c r="A89" s="4" t="s">
        <v>697</v>
      </c>
      <c r="B89" s="4" t="s">
        <v>295</v>
      </c>
      <c r="C89" s="4" t="s">
        <v>515</v>
      </c>
      <c r="D89" s="4" t="s">
        <v>103</v>
      </c>
      <c r="E89" s="4" t="s">
        <v>530</v>
      </c>
      <c r="F89" s="4" t="s">
        <v>630</v>
      </c>
      <c r="G89" s="4" t="n">
        <v>4</v>
      </c>
      <c r="H89" s="11"/>
      <c r="I89" s="5" t="s">
        <v>698</v>
      </c>
      <c r="J89" s="5"/>
      <c r="K89" s="5"/>
      <c r="L89" s="5" t="s">
        <v>699</v>
      </c>
      <c r="M89" s="5" t="s">
        <v>700</v>
      </c>
      <c r="N89" s="4" t="n">
        <v>20</v>
      </c>
      <c r="O89" s="4"/>
      <c r="P89" s="4" t="s">
        <v>105</v>
      </c>
      <c r="Q89" s="4" t="s">
        <v>216</v>
      </c>
      <c r="R89" s="4"/>
      <c r="S89" s="4"/>
      <c r="T89" s="4" t="str">
        <f aca="false">IF(AND(COUNTIF(Competitions!A:A,B89)+COUNTIF(Ranking_Systems!A:A,B89)+COUNTIF(Olympic_Events!A:A,B89)+IF(OR(B89="HOST_USA",B89="TRIPARTITE"),1,0)&gt;0,COUNTIF(Competitions!A:A,D89)+COUNTIF(Ranking_Systems!A:A,D89)+COUNTIF(Olympic_Events!A:A,D89)&gt;0),"OK","BROKEN")</f>
        <v>OK</v>
      </c>
    </row>
    <row r="90" customFormat="false" ht="46.25" hidden="false" customHeight="false" outlineLevel="0" collapsed="false">
      <c r="A90" s="4" t="s">
        <v>701</v>
      </c>
      <c r="B90" s="4" t="s">
        <v>278</v>
      </c>
      <c r="C90" s="4" t="s">
        <v>515</v>
      </c>
      <c r="D90" s="4" t="s">
        <v>103</v>
      </c>
      <c r="E90" s="4" t="s">
        <v>530</v>
      </c>
      <c r="F90" s="4" t="s">
        <v>546</v>
      </c>
      <c r="G90" s="4" t="n">
        <v>3</v>
      </c>
      <c r="H90" s="11"/>
      <c r="I90" s="5" t="s">
        <v>702</v>
      </c>
      <c r="J90" s="5"/>
      <c r="K90" s="5"/>
      <c r="L90" s="5" t="s">
        <v>703</v>
      </c>
      <c r="M90" s="5" t="s">
        <v>704</v>
      </c>
      <c r="N90" s="4" t="n">
        <v>20</v>
      </c>
      <c r="O90" s="4"/>
      <c r="P90" s="4" t="s">
        <v>105</v>
      </c>
      <c r="Q90" s="4" t="s">
        <v>705</v>
      </c>
      <c r="R90" s="4"/>
      <c r="S90" s="4"/>
      <c r="T90" s="4" t="str">
        <f aca="false">IF(AND(COUNTIF(Competitions!A:A,B90)+COUNTIF(Ranking_Systems!A:A,B90)+COUNTIF(Olympic_Events!A:A,B90)+IF(OR(B90="HOST_USA",B90="TRIPARTITE"),1,0)&gt;0,COUNTIF(Competitions!A:A,D90)+COUNTIF(Ranking_Systems!A:A,D90)+COUNTIF(Olympic_Events!A:A,D90)&gt;0),"OK","BROKEN")</f>
        <v>OK</v>
      </c>
    </row>
    <row r="91" customFormat="false" ht="23.85" hidden="false" customHeight="false" outlineLevel="0" collapsed="false">
      <c r="A91" s="4" t="s">
        <v>706</v>
      </c>
      <c r="B91" s="4" t="s">
        <v>239</v>
      </c>
      <c r="C91" s="4" t="s">
        <v>515</v>
      </c>
      <c r="D91" s="4" t="s">
        <v>103</v>
      </c>
      <c r="E91" s="4" t="s">
        <v>530</v>
      </c>
      <c r="F91" s="4" t="s">
        <v>630</v>
      </c>
      <c r="G91" s="4" t="n">
        <v>2</v>
      </c>
      <c r="H91" s="11"/>
      <c r="I91" s="5" t="s">
        <v>707</v>
      </c>
      <c r="J91" s="5"/>
      <c r="K91" s="5"/>
      <c r="L91" s="5"/>
      <c r="M91" s="5" t="s">
        <v>708</v>
      </c>
      <c r="N91" s="4" t="n">
        <v>20</v>
      </c>
      <c r="O91" s="4"/>
      <c r="P91" s="4" t="s">
        <v>105</v>
      </c>
      <c r="Q91" s="4" t="s">
        <v>216</v>
      </c>
      <c r="R91" s="4"/>
      <c r="S91" s="4"/>
      <c r="T91" s="4" t="str">
        <f aca="false">IF(AND(COUNTIF(Competitions!A:A,B91)+COUNTIF(Ranking_Systems!A:A,B91)+COUNTIF(Olympic_Events!A:A,B91)+IF(OR(B91="HOST_USA",B91="TRIPARTITE"),1,0)&gt;0,COUNTIF(Competitions!A:A,D91)+COUNTIF(Ranking_Systems!A:A,D91)+COUNTIF(Olympic_Events!A:A,D91)&gt;0),"OK","BROKEN")</f>
        <v>OK</v>
      </c>
    </row>
    <row r="92" customFormat="false" ht="15" hidden="false" customHeight="false" outlineLevel="0" collapsed="false">
      <c r="A92" s="4" t="s">
        <v>709</v>
      </c>
      <c r="B92" s="4" t="s">
        <v>273</v>
      </c>
      <c r="C92" s="4" t="s">
        <v>515</v>
      </c>
      <c r="D92" s="4" t="s">
        <v>103</v>
      </c>
      <c r="E92" s="4" t="s">
        <v>530</v>
      </c>
      <c r="F92" s="4" t="s">
        <v>630</v>
      </c>
      <c r="G92" s="4" t="n">
        <v>2</v>
      </c>
      <c r="H92" s="11"/>
      <c r="I92" s="5" t="s">
        <v>710</v>
      </c>
      <c r="J92" s="5"/>
      <c r="K92" s="5"/>
      <c r="L92" s="5"/>
      <c r="M92" s="5" t="s">
        <v>711</v>
      </c>
      <c r="N92" s="4" t="n">
        <v>20</v>
      </c>
      <c r="O92" s="4"/>
      <c r="P92" s="4" t="s">
        <v>105</v>
      </c>
      <c r="Q92" s="4" t="s">
        <v>216</v>
      </c>
      <c r="R92" s="4"/>
      <c r="S92" s="4"/>
      <c r="T92" s="4" t="str">
        <f aca="false">IF(AND(COUNTIF(Competitions!A:A,B92)+COUNTIF(Ranking_Systems!A:A,B92)+COUNTIF(Olympic_Events!A:A,B92)+IF(OR(B92="HOST_USA",B92="TRIPARTITE"),1,0)&gt;0,COUNTIF(Competitions!A:A,D92)+COUNTIF(Ranking_Systems!A:A,D92)+COUNTIF(Olympic_Events!A:A,D92)&gt;0),"OK","BROKEN")</f>
        <v>OK</v>
      </c>
    </row>
    <row r="93" customFormat="false" ht="15" hidden="false" customHeight="false" outlineLevel="0" collapsed="false">
      <c r="A93" s="4" t="s">
        <v>712</v>
      </c>
      <c r="B93" s="4" t="s">
        <v>285</v>
      </c>
      <c r="C93" s="4" t="s">
        <v>515</v>
      </c>
      <c r="D93" s="4" t="s">
        <v>103</v>
      </c>
      <c r="E93" s="4" t="s">
        <v>530</v>
      </c>
      <c r="F93" s="4" t="s">
        <v>630</v>
      </c>
      <c r="G93" s="4" t="n">
        <v>2</v>
      </c>
      <c r="H93" s="11"/>
      <c r="I93" s="5" t="s">
        <v>713</v>
      </c>
      <c r="J93" s="5"/>
      <c r="K93" s="5"/>
      <c r="L93" s="5"/>
      <c r="M93" s="5" t="s">
        <v>714</v>
      </c>
      <c r="N93" s="4" t="n">
        <v>20</v>
      </c>
      <c r="O93" s="4"/>
      <c r="P93" s="4" t="s">
        <v>105</v>
      </c>
      <c r="Q93" s="4" t="s">
        <v>216</v>
      </c>
      <c r="R93" s="4"/>
      <c r="S93" s="4"/>
      <c r="T93" s="4" t="str">
        <f aca="false">IF(AND(COUNTIF(Competitions!A:A,B93)+COUNTIF(Ranking_Systems!A:A,B93)+COUNTIF(Olympic_Events!A:A,B93)+IF(OR(B93="HOST_USA",B93="TRIPARTITE"),1,0)&gt;0,COUNTIF(Competitions!A:A,D93)+COUNTIF(Ranking_Systems!A:A,D93)+COUNTIF(Olympic_Events!A:A,D93)&gt;0),"OK","BROKEN")</f>
        <v>OK</v>
      </c>
    </row>
    <row r="94" customFormat="false" ht="15" hidden="false" customHeight="false" outlineLevel="0" collapsed="false">
      <c r="A94" s="4" t="s">
        <v>715</v>
      </c>
      <c r="B94" s="4" t="s">
        <v>292</v>
      </c>
      <c r="C94" s="4" t="s">
        <v>515</v>
      </c>
      <c r="D94" s="4" t="s">
        <v>103</v>
      </c>
      <c r="E94" s="4" t="s">
        <v>530</v>
      </c>
      <c r="F94" s="4" t="s">
        <v>630</v>
      </c>
      <c r="G94" s="4" t="n">
        <v>1</v>
      </c>
      <c r="H94" s="11"/>
      <c r="I94" s="5" t="s">
        <v>689</v>
      </c>
      <c r="J94" s="5"/>
      <c r="K94" s="5"/>
      <c r="L94" s="5"/>
      <c r="M94" s="5" t="s">
        <v>716</v>
      </c>
      <c r="N94" s="4" t="n">
        <v>20</v>
      </c>
      <c r="O94" s="4"/>
      <c r="P94" s="4" t="s">
        <v>105</v>
      </c>
      <c r="Q94" s="4" t="s">
        <v>221</v>
      </c>
      <c r="R94" s="4"/>
      <c r="S94" s="4"/>
      <c r="T94" s="4" t="str">
        <f aca="false">IF(AND(COUNTIF(Competitions!A:A,B94)+COUNTIF(Ranking_Systems!A:A,B94)+COUNTIF(Olympic_Events!A:A,B94)+IF(OR(B94="HOST_USA",B94="TRIPARTITE"),1,0)&gt;0,COUNTIF(Competitions!A:A,D94)+COUNTIF(Ranking_Systems!A:A,D94)+COUNTIF(Olympic_Events!A:A,D94)&gt;0),"OK","BROKEN")</f>
        <v>OK</v>
      </c>
    </row>
    <row r="95" customFormat="false" ht="15" hidden="false" customHeight="false" outlineLevel="0" collapsed="false">
      <c r="A95" s="4" t="s">
        <v>717</v>
      </c>
      <c r="B95" s="4" t="s">
        <v>305</v>
      </c>
      <c r="C95" s="4" t="s">
        <v>515</v>
      </c>
      <c r="D95" s="4" t="s">
        <v>103</v>
      </c>
      <c r="E95" s="4" t="s">
        <v>530</v>
      </c>
      <c r="F95" s="4" t="s">
        <v>718</v>
      </c>
      <c r="G95" s="4" t="n">
        <v>1</v>
      </c>
      <c r="H95" s="11"/>
      <c r="I95" s="5" t="s">
        <v>719</v>
      </c>
      <c r="J95" s="5"/>
      <c r="K95" s="5"/>
      <c r="L95" s="5"/>
      <c r="M95" s="5" t="s">
        <v>720</v>
      </c>
      <c r="N95" s="4" t="n">
        <v>30</v>
      </c>
      <c r="O95" s="4"/>
      <c r="P95" s="4" t="s">
        <v>105</v>
      </c>
      <c r="Q95" s="4" t="s">
        <v>216</v>
      </c>
      <c r="R95" s="4"/>
      <c r="S95" s="4"/>
      <c r="T95" s="4" t="str">
        <f aca="false">IF(AND(COUNTIF(Competitions!A:A,B95)+COUNTIF(Ranking_Systems!A:A,B95)+COUNTIF(Olympic_Events!A:A,B95)+IF(OR(B95="HOST_USA",B95="TRIPARTITE"),1,0)&gt;0,COUNTIF(Competitions!A:A,D95)+COUNTIF(Ranking_Systems!A:A,D95)+COUNTIF(Olympic_Events!A:A,D95)&gt;0),"OK","BROKEN")</f>
        <v>OK</v>
      </c>
    </row>
    <row r="96" customFormat="false" ht="23.85" hidden="false" customHeight="false" outlineLevel="0" collapsed="false">
      <c r="A96" s="4" t="s">
        <v>721</v>
      </c>
      <c r="B96" s="4" t="s">
        <v>246</v>
      </c>
      <c r="C96" s="4" t="s">
        <v>515</v>
      </c>
      <c r="D96" s="4" t="s">
        <v>239</v>
      </c>
      <c r="E96" s="4" t="s">
        <v>515</v>
      </c>
      <c r="F96" s="4" t="s">
        <v>625</v>
      </c>
      <c r="G96" s="4"/>
      <c r="H96" s="4" t="n">
        <v>8</v>
      </c>
      <c r="I96" s="5" t="s">
        <v>722</v>
      </c>
      <c r="J96" s="5"/>
      <c r="K96" s="5"/>
      <c r="L96" s="5"/>
      <c r="M96" s="5" t="s">
        <v>723</v>
      </c>
      <c r="N96" s="4" t="n">
        <v>0</v>
      </c>
      <c r="O96" s="4"/>
      <c r="P96" s="4" t="s">
        <v>105</v>
      </c>
      <c r="Q96" s="4" t="s">
        <v>216</v>
      </c>
      <c r="R96" s="4"/>
      <c r="S96" s="4"/>
      <c r="T96" s="4" t="str">
        <f aca="false">IF(AND(COUNTIF(Competitions!A:A,B96)+COUNTIF(Ranking_Systems!A:A,B96)+COUNTIF(Olympic_Events!A:A,B96)+IF(OR(B96="HOST_USA",B96="TRIPARTITE"),1,0)&gt;0,COUNTIF(Competitions!A:A,D96)+COUNTIF(Ranking_Systems!A:A,D96)+COUNTIF(Olympic_Events!A:A,D96)&gt;0),"OK","BROKEN")</f>
        <v>OK</v>
      </c>
    </row>
    <row r="97" customFormat="false" ht="15" hidden="false" customHeight="false" outlineLevel="0" collapsed="false">
      <c r="A97" s="4" t="s">
        <v>724</v>
      </c>
      <c r="B97" s="4" t="s">
        <v>239</v>
      </c>
      <c r="C97" s="4" t="s">
        <v>515</v>
      </c>
      <c r="D97" s="4" t="s">
        <v>305</v>
      </c>
      <c r="E97" s="4" t="s">
        <v>515</v>
      </c>
      <c r="F97" s="4" t="s">
        <v>625</v>
      </c>
      <c r="G97" s="4"/>
      <c r="H97" s="4" t="n">
        <v>1</v>
      </c>
      <c r="I97" s="5" t="s">
        <v>725</v>
      </c>
      <c r="J97" s="5"/>
      <c r="K97" s="5"/>
      <c r="L97" s="5"/>
      <c r="M97" s="5" t="s">
        <v>726</v>
      </c>
      <c r="N97" s="4" t="n">
        <v>0</v>
      </c>
      <c r="O97" s="4"/>
      <c r="P97" s="4" t="s">
        <v>105</v>
      </c>
      <c r="Q97" s="4" t="s">
        <v>216</v>
      </c>
      <c r="R97" s="4"/>
      <c r="S97" s="4"/>
      <c r="T97" s="4" t="str">
        <f aca="false">IF(AND(COUNTIF(Competitions!A:A,B97)+COUNTIF(Ranking_Systems!A:A,B97)+COUNTIF(Olympic_Events!A:A,B97)+IF(OR(B97="HOST_USA",B97="TRIPARTITE"),1,0)&gt;0,COUNTIF(Competitions!A:A,D97)+COUNTIF(Ranking_Systems!A:A,D97)+COUNTIF(Olympic_Events!A:A,D97)&gt;0),"OK","BROKEN")</f>
        <v>OK</v>
      </c>
    </row>
    <row r="98" customFormat="false" ht="15" hidden="false" customHeight="false" outlineLevel="0" collapsed="false">
      <c r="A98" s="4" t="s">
        <v>727</v>
      </c>
      <c r="B98" s="4" t="s">
        <v>285</v>
      </c>
      <c r="C98" s="4" t="s">
        <v>515</v>
      </c>
      <c r="D98" s="4" t="s">
        <v>305</v>
      </c>
      <c r="E98" s="4" t="s">
        <v>515</v>
      </c>
      <c r="F98" s="4" t="s">
        <v>625</v>
      </c>
      <c r="G98" s="4"/>
      <c r="H98" s="4" t="n">
        <v>1</v>
      </c>
      <c r="I98" s="5" t="s">
        <v>728</v>
      </c>
      <c r="J98" s="5"/>
      <c r="K98" s="5"/>
      <c r="L98" s="5"/>
      <c r="M98" s="5" t="s">
        <v>729</v>
      </c>
      <c r="N98" s="4" t="n">
        <v>0</v>
      </c>
      <c r="O98" s="4"/>
      <c r="P98" s="4" t="s">
        <v>105</v>
      </c>
      <c r="Q98" s="4" t="s">
        <v>216</v>
      </c>
      <c r="R98" s="4"/>
      <c r="S98" s="4"/>
      <c r="T98" s="4" t="str">
        <f aca="false">IF(AND(COUNTIF(Competitions!A:A,B98)+COUNTIF(Ranking_Systems!A:A,B98)+COUNTIF(Olympic_Events!A:A,B98)+IF(OR(B98="HOST_USA",B98="TRIPARTITE"),1,0)&gt;0,COUNTIF(Competitions!A:A,D98)+COUNTIF(Ranking_Systems!A:A,D98)+COUNTIF(Olympic_Events!A:A,D98)&gt;0),"OK","BROKEN")</f>
        <v>OK</v>
      </c>
    </row>
    <row r="99" customFormat="false" ht="35.05" hidden="false" customHeight="false" outlineLevel="0" collapsed="false">
      <c r="A99" s="4" t="s">
        <v>730</v>
      </c>
      <c r="B99" s="4" t="s">
        <v>301</v>
      </c>
      <c r="C99" s="4" t="s">
        <v>515</v>
      </c>
      <c r="D99" s="4" t="s">
        <v>295</v>
      </c>
      <c r="E99" s="4" t="s">
        <v>515</v>
      </c>
      <c r="F99" s="4" t="s">
        <v>625</v>
      </c>
      <c r="G99" s="4"/>
      <c r="H99" s="11"/>
      <c r="I99" s="5" t="s">
        <v>731</v>
      </c>
      <c r="J99" s="5" t="s">
        <v>732</v>
      </c>
      <c r="K99" s="5"/>
      <c r="L99" s="5"/>
      <c r="M99" s="5" t="s">
        <v>733</v>
      </c>
      <c r="N99" s="4" t="n">
        <v>0</v>
      </c>
      <c r="O99" s="4"/>
      <c r="P99" s="4" t="s">
        <v>105</v>
      </c>
      <c r="Q99" s="4" t="s">
        <v>216</v>
      </c>
      <c r="R99" s="4"/>
      <c r="S99" s="4"/>
      <c r="T99" s="4" t="str">
        <f aca="false">IF(AND(COUNTIF(Competitions!A:A,B99)+COUNTIF(Ranking_Systems!A:A,B99)+COUNTIF(Olympic_Events!A:A,B99)+IF(OR(B99="HOST_USA",B99="TRIPARTITE"),1,0)&gt;0,COUNTIF(Competitions!A:A,D99)+COUNTIF(Ranking_Systems!A:A,D99)+COUNTIF(Olympic_Events!A:A,D99)&gt;0),"OK","BROKEN")</f>
        <v>OK</v>
      </c>
    </row>
    <row r="100" customFormat="false" ht="15" hidden="false" customHeight="false" outlineLevel="0" collapsed="false">
      <c r="A100" s="4" t="s">
        <v>734</v>
      </c>
      <c r="B100" s="4" t="s">
        <v>249</v>
      </c>
      <c r="C100" s="4" t="s">
        <v>515</v>
      </c>
      <c r="D100" s="4" t="s">
        <v>255</v>
      </c>
      <c r="E100" s="4" t="s">
        <v>515</v>
      </c>
      <c r="F100" s="4" t="s">
        <v>625</v>
      </c>
      <c r="G100" s="4"/>
      <c r="H100" s="4" t="n">
        <v>3</v>
      </c>
      <c r="I100" s="5" t="s">
        <v>735</v>
      </c>
      <c r="J100" s="5"/>
      <c r="K100" s="5"/>
      <c r="L100" s="5"/>
      <c r="M100" s="5" t="s">
        <v>736</v>
      </c>
      <c r="N100" s="4" t="n">
        <v>0</v>
      </c>
      <c r="O100" s="4"/>
      <c r="P100" s="4" t="s">
        <v>105</v>
      </c>
      <c r="Q100" s="4" t="s">
        <v>216</v>
      </c>
      <c r="R100" s="4"/>
      <c r="S100" s="4"/>
      <c r="T100" s="4" t="str">
        <f aca="false">IF(AND(COUNTIF(Competitions!A:A,B100)+COUNTIF(Ranking_Systems!A:A,B100)+COUNTIF(Olympic_Events!A:A,B100)+IF(OR(B100="HOST_USA",B100="TRIPARTITE"),1,0)&gt;0,COUNTIF(Competitions!A:A,D100)+COUNTIF(Ranking_Systems!A:A,D100)+COUNTIF(Olympic_Events!A:A,D100)&gt;0),"OK","BROKEN")</f>
        <v>OK</v>
      </c>
    </row>
    <row r="101" customFormat="false" ht="15" hidden="false" customHeight="false" outlineLevel="0" collapsed="false">
      <c r="A101" s="4" t="s">
        <v>737</v>
      </c>
      <c r="B101" s="4" t="s">
        <v>255</v>
      </c>
      <c r="C101" s="4" t="s">
        <v>515</v>
      </c>
      <c r="D101" s="4" t="s">
        <v>261</v>
      </c>
      <c r="E101" s="4" t="s">
        <v>515</v>
      </c>
      <c r="F101" s="4" t="s">
        <v>625</v>
      </c>
      <c r="G101" s="4"/>
      <c r="H101" s="4" t="n">
        <v>16</v>
      </c>
      <c r="I101" s="5" t="s">
        <v>738</v>
      </c>
      <c r="J101" s="5"/>
      <c r="K101" s="5"/>
      <c r="L101" s="5"/>
      <c r="M101" s="5" t="s">
        <v>736</v>
      </c>
      <c r="N101" s="4" t="n">
        <v>0</v>
      </c>
      <c r="O101" s="4"/>
      <c r="P101" s="4" t="s">
        <v>105</v>
      </c>
      <c r="Q101" s="4" t="s">
        <v>216</v>
      </c>
      <c r="R101" s="4"/>
      <c r="S101" s="4"/>
      <c r="T101" s="4" t="str">
        <f aca="false">IF(AND(COUNTIF(Competitions!A:A,B101)+COUNTIF(Ranking_Systems!A:A,B101)+COUNTIF(Olympic_Events!A:A,B101)+IF(OR(B101="HOST_USA",B101="TRIPARTITE"),1,0)&gt;0,COUNTIF(Competitions!A:A,D101)+COUNTIF(Ranking_Systems!A:A,D101)+COUNTIF(Olympic_Events!A:A,D101)&gt;0),"OK","BROKEN")</f>
        <v>OK</v>
      </c>
    </row>
    <row r="102" customFormat="false" ht="15" hidden="false" customHeight="false" outlineLevel="0" collapsed="false">
      <c r="A102" s="4" t="s">
        <v>739</v>
      </c>
      <c r="B102" s="4" t="s">
        <v>261</v>
      </c>
      <c r="C102" s="4" t="s">
        <v>515</v>
      </c>
      <c r="D102" s="4" t="s">
        <v>267</v>
      </c>
      <c r="E102" s="4" t="s">
        <v>515</v>
      </c>
      <c r="F102" s="4" t="s">
        <v>625</v>
      </c>
      <c r="G102" s="4"/>
      <c r="H102" s="4" t="n">
        <v>8</v>
      </c>
      <c r="I102" s="5" t="s">
        <v>740</v>
      </c>
      <c r="J102" s="5"/>
      <c r="K102" s="5"/>
      <c r="L102" s="5"/>
      <c r="M102" s="5" t="s">
        <v>736</v>
      </c>
      <c r="N102" s="4" t="n">
        <v>0</v>
      </c>
      <c r="O102" s="4"/>
      <c r="P102" s="4" t="s">
        <v>105</v>
      </c>
      <c r="Q102" s="4" t="s">
        <v>216</v>
      </c>
      <c r="R102" s="4"/>
      <c r="S102" s="4"/>
      <c r="T102" s="4" t="str">
        <f aca="false">IF(AND(COUNTIF(Competitions!A:A,B102)+COUNTIF(Ranking_Systems!A:A,B102)+COUNTIF(Olympic_Events!A:A,B102)+IF(OR(B102="HOST_USA",B102="TRIPARTITE"),1,0)&gt;0,COUNTIF(Competitions!A:A,D102)+COUNTIF(Ranking_Systems!A:A,D102)+COUNTIF(Olympic_Events!A:A,D102)&gt;0),"OK","BROKEN")</f>
        <v>OK</v>
      </c>
    </row>
    <row r="103" customFormat="false" ht="15" hidden="false" customHeight="false" outlineLevel="0" collapsed="false">
      <c r="A103" s="4" t="s">
        <v>741</v>
      </c>
      <c r="B103" s="4" t="s">
        <v>267</v>
      </c>
      <c r="C103" s="4" t="s">
        <v>515</v>
      </c>
      <c r="D103" s="4" t="s">
        <v>273</v>
      </c>
      <c r="E103" s="4" t="s">
        <v>515</v>
      </c>
      <c r="F103" s="4" t="s">
        <v>625</v>
      </c>
      <c r="G103" s="4"/>
      <c r="H103" s="4" t="n">
        <v>4</v>
      </c>
      <c r="I103" s="5" t="s">
        <v>742</v>
      </c>
      <c r="J103" s="5"/>
      <c r="K103" s="5"/>
      <c r="L103" s="5"/>
      <c r="M103" s="5" t="s">
        <v>736</v>
      </c>
      <c r="N103" s="4" t="n">
        <v>0</v>
      </c>
      <c r="O103" s="4"/>
      <c r="P103" s="4" t="s">
        <v>105</v>
      </c>
      <c r="Q103" s="4" t="s">
        <v>216</v>
      </c>
      <c r="R103" s="4"/>
      <c r="S103" s="4"/>
      <c r="T103" s="4" t="str">
        <f aca="false">IF(AND(COUNTIF(Competitions!A:A,B103)+COUNTIF(Ranking_Systems!A:A,B103)+COUNTIF(Olympic_Events!A:A,B103)+IF(OR(B103="HOST_USA",B103="TRIPARTITE"),1,0)&gt;0,COUNTIF(Competitions!A:A,D103)+COUNTIF(Ranking_Systems!A:A,D103)+COUNTIF(Olympic_Events!A:A,D103)&gt;0),"OK","BROKEN")</f>
        <v>OK</v>
      </c>
    </row>
    <row r="104" customFormat="false" ht="46.25" hidden="false" customHeight="false" outlineLevel="0" collapsed="false">
      <c r="A104" s="4" t="s">
        <v>743</v>
      </c>
      <c r="B104" s="4" t="s">
        <v>596</v>
      </c>
      <c r="C104" s="4" t="s">
        <v>597</v>
      </c>
      <c r="D104" s="4" t="s">
        <v>107</v>
      </c>
      <c r="E104" s="4" t="s">
        <v>530</v>
      </c>
      <c r="F104" s="4" t="s">
        <v>598</v>
      </c>
      <c r="G104" s="4" t="n">
        <v>1</v>
      </c>
      <c r="H104" s="11"/>
      <c r="I104" s="5" t="s">
        <v>744</v>
      </c>
      <c r="J104" s="5"/>
      <c r="K104" s="5"/>
      <c r="L104" s="5"/>
      <c r="M104" s="5" t="s">
        <v>745</v>
      </c>
      <c r="N104" s="4" t="n">
        <v>10</v>
      </c>
      <c r="O104" s="4"/>
      <c r="P104" s="4" t="s">
        <v>746</v>
      </c>
      <c r="Q104" s="4" t="s">
        <v>705</v>
      </c>
      <c r="R104" s="4"/>
      <c r="S104" s="4"/>
      <c r="T104" s="4" t="str">
        <f aca="false">IF(AND(COUNTIF(Competitions!A:A,B104)+COUNTIF(Ranking_Systems!A:A,B104)+COUNTIF(Olympic_Events!A:A,B104)+IF(OR(B104="HOST_USA",B104="TRIPARTITE"),1,0)&gt;0,COUNTIF(Competitions!A:A,D104)+COUNTIF(Ranking_Systems!A:A,D104)+COUNTIF(Olympic_Events!A:A,D104)&gt;0),"OK","BROKEN")</f>
        <v>OK</v>
      </c>
    </row>
    <row r="105" customFormat="false" ht="46.25" hidden="false" customHeight="false" outlineLevel="0" collapsed="false">
      <c r="A105" s="4" t="s">
        <v>747</v>
      </c>
      <c r="B105" s="4" t="s">
        <v>372</v>
      </c>
      <c r="C105" s="4" t="s">
        <v>515</v>
      </c>
      <c r="D105" s="4" t="s">
        <v>107</v>
      </c>
      <c r="E105" s="4" t="s">
        <v>530</v>
      </c>
      <c r="F105" s="4" t="s">
        <v>630</v>
      </c>
      <c r="G105" s="4" t="n">
        <v>7</v>
      </c>
      <c r="H105" s="11"/>
      <c r="I105" s="5" t="s">
        <v>748</v>
      </c>
      <c r="J105" s="5"/>
      <c r="K105" s="5"/>
      <c r="L105" s="5" t="s">
        <v>749</v>
      </c>
      <c r="M105" s="5" t="s">
        <v>750</v>
      </c>
      <c r="N105" s="4" t="n">
        <v>20</v>
      </c>
      <c r="O105" s="4"/>
      <c r="P105" s="4" t="s">
        <v>751</v>
      </c>
      <c r="Q105" s="4" t="s">
        <v>138</v>
      </c>
      <c r="R105" s="4"/>
      <c r="S105" s="4"/>
      <c r="T105" s="4" t="str">
        <f aca="false">IF(AND(COUNTIF(Competitions!A:A,B105)+COUNTIF(Ranking_Systems!A:A,B105)+COUNTIF(Olympic_Events!A:A,B105)+IF(OR(B105="HOST_USA",B105="TRIPARTITE"),1,0)&gt;0,COUNTIF(Competitions!A:A,D105)+COUNTIF(Ranking_Systems!A:A,D105)+COUNTIF(Olympic_Events!A:A,D105)&gt;0),"OK","BROKEN")</f>
        <v>OK</v>
      </c>
    </row>
    <row r="106" customFormat="false" ht="35.05" hidden="false" customHeight="false" outlineLevel="0" collapsed="false">
      <c r="A106" s="4" t="s">
        <v>752</v>
      </c>
      <c r="B106" s="4" t="s">
        <v>419</v>
      </c>
      <c r="C106" s="4" t="s">
        <v>515</v>
      </c>
      <c r="D106" s="4" t="s">
        <v>107</v>
      </c>
      <c r="E106" s="4" t="s">
        <v>530</v>
      </c>
      <c r="F106" s="4" t="s">
        <v>630</v>
      </c>
      <c r="G106" s="4" t="n">
        <v>4</v>
      </c>
      <c r="H106" s="11"/>
      <c r="I106" s="5" t="s">
        <v>753</v>
      </c>
      <c r="J106" s="5"/>
      <c r="K106" s="5"/>
      <c r="L106" s="5" t="s">
        <v>754</v>
      </c>
      <c r="M106" s="5" t="s">
        <v>755</v>
      </c>
      <c r="N106" s="4" t="n">
        <v>30</v>
      </c>
      <c r="O106" s="4"/>
      <c r="P106" s="4" t="s">
        <v>756</v>
      </c>
      <c r="Q106" s="4" t="s">
        <v>138</v>
      </c>
      <c r="R106" s="4"/>
      <c r="S106" s="4"/>
      <c r="T106" s="4" t="str">
        <f aca="false">IF(AND(COUNTIF(Competitions!A:A,B106)+COUNTIF(Ranking_Systems!A:A,B106)+COUNTIF(Olympic_Events!A:A,B106)+IF(OR(B106="HOST_USA",B106="TRIPARTITE"),1,0)&gt;0,COUNTIF(Competitions!A:A,D106)+COUNTIF(Ranking_Systems!A:A,D106)+COUNTIF(Olympic_Events!A:A,D106)&gt;0),"OK","BROKEN")</f>
        <v>OK</v>
      </c>
    </row>
    <row r="107" customFormat="false" ht="15" hidden="false" customHeight="false" outlineLevel="0" collapsed="false">
      <c r="A107" s="4" t="s">
        <v>757</v>
      </c>
      <c r="B107" s="4" t="s">
        <v>378</v>
      </c>
      <c r="C107" s="4" t="s">
        <v>515</v>
      </c>
      <c r="D107" s="4" t="s">
        <v>372</v>
      </c>
      <c r="E107" s="4" t="s">
        <v>515</v>
      </c>
      <c r="F107" s="4" t="s">
        <v>625</v>
      </c>
      <c r="G107" s="4"/>
      <c r="H107" s="4" t="n">
        <v>5</v>
      </c>
      <c r="I107" s="5" t="s">
        <v>758</v>
      </c>
      <c r="J107" s="5"/>
      <c r="K107" s="5"/>
      <c r="L107" s="5"/>
      <c r="M107" s="5" t="s">
        <v>759</v>
      </c>
      <c r="N107" s="4" t="n">
        <v>0</v>
      </c>
      <c r="O107" s="4"/>
      <c r="P107" s="4" t="s">
        <v>751</v>
      </c>
      <c r="Q107" s="4" t="s">
        <v>138</v>
      </c>
      <c r="R107" s="4"/>
      <c r="S107" s="4"/>
      <c r="T107" s="4" t="str">
        <f aca="false">IF(AND(COUNTIF(Competitions!A:A,B107)+COUNTIF(Ranking_Systems!A:A,B107)+COUNTIF(Olympic_Events!A:A,B107)+IF(OR(B107="HOST_USA",B107="TRIPARTITE"),1,0)&gt;0,COUNTIF(Competitions!A:A,D107)+COUNTIF(Ranking_Systems!A:A,D107)+COUNTIF(Olympic_Events!A:A,D107)&gt;0),"OK","BROKEN")</f>
        <v>OK</v>
      </c>
    </row>
    <row r="108" customFormat="false" ht="15" hidden="false" customHeight="false" outlineLevel="0" collapsed="false">
      <c r="A108" s="4" t="s">
        <v>760</v>
      </c>
      <c r="B108" s="4" t="s">
        <v>378</v>
      </c>
      <c r="C108" s="4" t="s">
        <v>515</v>
      </c>
      <c r="D108" s="4" t="s">
        <v>761</v>
      </c>
      <c r="E108" s="4" t="s">
        <v>517</v>
      </c>
      <c r="F108" s="4" t="s">
        <v>518</v>
      </c>
      <c r="G108" s="4"/>
      <c r="H108" s="11"/>
      <c r="I108" s="5" t="s">
        <v>762</v>
      </c>
      <c r="J108" s="5"/>
      <c r="K108" s="5"/>
      <c r="L108" s="5"/>
      <c r="M108" s="5" t="s">
        <v>763</v>
      </c>
      <c r="N108" s="4" t="n">
        <v>0</v>
      </c>
      <c r="O108" s="4"/>
      <c r="P108" s="4" t="s">
        <v>764</v>
      </c>
      <c r="Q108" s="4" t="s">
        <v>138</v>
      </c>
      <c r="R108" s="4"/>
      <c r="S108" s="4"/>
      <c r="T108" s="4" t="str">
        <f aca="false">IF(AND(COUNTIF(Competitions!A:A,B108)+COUNTIF(Ranking_Systems!A:A,B108)+COUNTIF(Olympic_Events!A:A,B108)+IF(OR(B108="HOST_USA",B108="TRIPARTITE"),1,0)&gt;0,COUNTIF(Competitions!A:A,D108)+COUNTIF(Ranking_Systems!A:A,D108)+COUNTIF(Olympic_Events!A:A,D108)&gt;0),"OK","BROKEN")</f>
        <v>OK</v>
      </c>
    </row>
    <row r="109" customFormat="false" ht="15" hidden="false" customHeight="false" outlineLevel="0" collapsed="false">
      <c r="A109" s="4" t="s">
        <v>765</v>
      </c>
      <c r="B109" s="4" t="s">
        <v>384</v>
      </c>
      <c r="C109" s="4" t="s">
        <v>515</v>
      </c>
      <c r="D109" s="4" t="s">
        <v>372</v>
      </c>
      <c r="E109" s="4" t="s">
        <v>515</v>
      </c>
      <c r="F109" s="4" t="s">
        <v>625</v>
      </c>
      <c r="G109" s="4"/>
      <c r="H109" s="4" t="n">
        <v>7</v>
      </c>
      <c r="I109" s="5" t="s">
        <v>766</v>
      </c>
      <c r="J109" s="5"/>
      <c r="K109" s="5"/>
      <c r="L109" s="5"/>
      <c r="M109" s="5" t="s">
        <v>767</v>
      </c>
      <c r="N109" s="4" t="n">
        <v>0</v>
      </c>
      <c r="O109" s="4"/>
      <c r="P109" s="4" t="s">
        <v>751</v>
      </c>
      <c r="Q109" s="4" t="s">
        <v>138</v>
      </c>
      <c r="R109" s="4"/>
      <c r="S109" s="4"/>
      <c r="T109" s="4" t="str">
        <f aca="false">IF(AND(COUNTIF(Competitions!A:A,B109)+COUNTIF(Ranking_Systems!A:A,B109)+COUNTIF(Olympic_Events!A:A,B109)+IF(OR(B109="HOST_USA",B109="TRIPARTITE"),1,0)&gt;0,COUNTIF(Competitions!A:A,D109)+COUNTIF(Ranking_Systems!A:A,D109)+COUNTIF(Olympic_Events!A:A,D109)&gt;0),"OK","BROKEN")</f>
        <v>OK</v>
      </c>
    </row>
    <row r="110" customFormat="false" ht="15" hidden="false" customHeight="false" outlineLevel="0" collapsed="false">
      <c r="A110" s="4" t="s">
        <v>768</v>
      </c>
      <c r="B110" s="4" t="s">
        <v>384</v>
      </c>
      <c r="C110" s="4" t="s">
        <v>515</v>
      </c>
      <c r="D110" s="4" t="s">
        <v>761</v>
      </c>
      <c r="E110" s="4" t="s">
        <v>517</v>
      </c>
      <c r="F110" s="4" t="s">
        <v>518</v>
      </c>
      <c r="G110" s="4"/>
      <c r="H110" s="11"/>
      <c r="I110" s="5" t="s">
        <v>762</v>
      </c>
      <c r="J110" s="5"/>
      <c r="K110" s="5"/>
      <c r="L110" s="5"/>
      <c r="M110" s="5" t="s">
        <v>763</v>
      </c>
      <c r="N110" s="4" t="n">
        <v>0</v>
      </c>
      <c r="O110" s="4"/>
      <c r="P110" s="4" t="s">
        <v>764</v>
      </c>
      <c r="Q110" s="4" t="s">
        <v>138</v>
      </c>
      <c r="R110" s="4"/>
      <c r="S110" s="4"/>
      <c r="T110" s="4" t="str">
        <f aca="false">IF(AND(COUNTIF(Competitions!A:A,B110)+COUNTIF(Ranking_Systems!A:A,B110)+COUNTIF(Olympic_Events!A:A,B110)+IF(OR(B110="HOST_USA",B110="TRIPARTITE"),1,0)&gt;0,COUNTIF(Competitions!A:A,D110)+COUNTIF(Ranking_Systems!A:A,D110)+COUNTIF(Olympic_Events!A:A,D110)&gt;0),"OK","BROKEN")</f>
        <v>OK</v>
      </c>
    </row>
    <row r="111" customFormat="false" ht="15" hidden="false" customHeight="false" outlineLevel="0" collapsed="false">
      <c r="A111" s="4" t="s">
        <v>769</v>
      </c>
      <c r="B111" s="4" t="s">
        <v>388</v>
      </c>
      <c r="C111" s="4" t="s">
        <v>515</v>
      </c>
      <c r="D111" s="4" t="s">
        <v>372</v>
      </c>
      <c r="E111" s="4" t="s">
        <v>515</v>
      </c>
      <c r="F111" s="4" t="s">
        <v>625</v>
      </c>
      <c r="G111" s="4"/>
      <c r="H111" s="4" t="n">
        <v>7</v>
      </c>
      <c r="I111" s="5" t="s">
        <v>770</v>
      </c>
      <c r="J111" s="5"/>
      <c r="K111" s="5"/>
      <c r="L111" s="5"/>
      <c r="M111" s="5" t="s">
        <v>771</v>
      </c>
      <c r="N111" s="4" t="n">
        <v>0</v>
      </c>
      <c r="O111" s="4"/>
      <c r="P111" s="4" t="s">
        <v>751</v>
      </c>
      <c r="Q111" s="4" t="s">
        <v>138</v>
      </c>
      <c r="R111" s="4"/>
      <c r="S111" s="4"/>
      <c r="T111" s="4" t="str">
        <f aca="false">IF(AND(COUNTIF(Competitions!A:A,B111)+COUNTIF(Ranking_Systems!A:A,B111)+COUNTIF(Olympic_Events!A:A,B111)+IF(OR(B111="HOST_USA",B111="TRIPARTITE"),1,0)&gt;0,COUNTIF(Competitions!A:A,D111)+COUNTIF(Ranking_Systems!A:A,D111)+COUNTIF(Olympic_Events!A:A,D111)&gt;0),"OK","BROKEN")</f>
        <v>OK</v>
      </c>
    </row>
    <row r="112" customFormat="false" ht="15" hidden="false" customHeight="false" outlineLevel="0" collapsed="false">
      <c r="A112" s="4" t="s">
        <v>772</v>
      </c>
      <c r="B112" s="4" t="s">
        <v>388</v>
      </c>
      <c r="C112" s="4" t="s">
        <v>515</v>
      </c>
      <c r="D112" s="4" t="s">
        <v>761</v>
      </c>
      <c r="E112" s="4" t="s">
        <v>517</v>
      </c>
      <c r="F112" s="4" t="s">
        <v>518</v>
      </c>
      <c r="G112" s="4"/>
      <c r="H112" s="11"/>
      <c r="I112" s="5" t="s">
        <v>762</v>
      </c>
      <c r="J112" s="5"/>
      <c r="K112" s="5"/>
      <c r="L112" s="5"/>
      <c r="M112" s="5" t="s">
        <v>763</v>
      </c>
      <c r="N112" s="4" t="n">
        <v>0</v>
      </c>
      <c r="O112" s="4"/>
      <c r="P112" s="4" t="s">
        <v>764</v>
      </c>
      <c r="Q112" s="4" t="s">
        <v>138</v>
      </c>
      <c r="R112" s="4"/>
      <c r="S112" s="4"/>
      <c r="T112" s="4" t="str">
        <f aca="false">IF(AND(COUNTIF(Competitions!A:A,B112)+COUNTIF(Ranking_Systems!A:A,B112)+COUNTIF(Olympic_Events!A:A,B112)+IF(OR(B112="HOST_USA",B112="TRIPARTITE"),1,0)&gt;0,COUNTIF(Competitions!A:A,D112)+COUNTIF(Ranking_Systems!A:A,D112)+COUNTIF(Olympic_Events!A:A,D112)&gt;0),"OK","BROKEN")</f>
        <v>OK</v>
      </c>
    </row>
    <row r="113" customFormat="false" ht="15" hidden="false" customHeight="false" outlineLevel="0" collapsed="false">
      <c r="A113" s="4" t="s">
        <v>773</v>
      </c>
      <c r="B113" s="4" t="s">
        <v>392</v>
      </c>
      <c r="C113" s="4" t="s">
        <v>515</v>
      </c>
      <c r="D113" s="4" t="s">
        <v>372</v>
      </c>
      <c r="E113" s="4" t="s">
        <v>515</v>
      </c>
      <c r="F113" s="4" t="s">
        <v>625</v>
      </c>
      <c r="G113" s="4"/>
      <c r="H113" s="4" t="n">
        <v>12</v>
      </c>
      <c r="I113" s="5" t="s">
        <v>774</v>
      </c>
      <c r="J113" s="5"/>
      <c r="K113" s="5"/>
      <c r="L113" s="5"/>
      <c r="M113" s="5" t="s">
        <v>775</v>
      </c>
      <c r="N113" s="4" t="n">
        <v>0</v>
      </c>
      <c r="O113" s="4"/>
      <c r="P113" s="4" t="s">
        <v>751</v>
      </c>
      <c r="Q113" s="4" t="s">
        <v>138</v>
      </c>
      <c r="R113" s="4"/>
      <c r="S113" s="4"/>
      <c r="T113" s="4" t="str">
        <f aca="false">IF(AND(COUNTIF(Competitions!A:A,B113)+COUNTIF(Ranking_Systems!A:A,B113)+COUNTIF(Olympic_Events!A:A,B113)+IF(OR(B113="HOST_USA",B113="TRIPARTITE"),1,0)&gt;0,COUNTIF(Competitions!A:A,D113)+COUNTIF(Ranking_Systems!A:A,D113)+COUNTIF(Olympic_Events!A:A,D113)&gt;0),"OK","BROKEN")</f>
        <v>OK</v>
      </c>
    </row>
    <row r="114" customFormat="false" ht="15" hidden="false" customHeight="false" outlineLevel="0" collapsed="false">
      <c r="A114" s="4" t="s">
        <v>776</v>
      </c>
      <c r="B114" s="4" t="s">
        <v>392</v>
      </c>
      <c r="C114" s="4" t="s">
        <v>515</v>
      </c>
      <c r="D114" s="4" t="s">
        <v>761</v>
      </c>
      <c r="E114" s="4" t="s">
        <v>517</v>
      </c>
      <c r="F114" s="4" t="s">
        <v>518</v>
      </c>
      <c r="G114" s="4"/>
      <c r="H114" s="11"/>
      <c r="I114" s="5" t="s">
        <v>762</v>
      </c>
      <c r="J114" s="5"/>
      <c r="K114" s="5"/>
      <c r="L114" s="5"/>
      <c r="M114" s="5" t="s">
        <v>763</v>
      </c>
      <c r="N114" s="4" t="n">
        <v>0</v>
      </c>
      <c r="O114" s="4"/>
      <c r="P114" s="4" t="s">
        <v>764</v>
      </c>
      <c r="Q114" s="4" t="s">
        <v>138</v>
      </c>
      <c r="R114" s="4"/>
      <c r="S114" s="4"/>
      <c r="T114" s="4" t="str">
        <f aca="false">IF(AND(COUNTIF(Competitions!A:A,B114)+COUNTIF(Ranking_Systems!A:A,B114)+COUNTIF(Olympic_Events!A:A,B114)+IF(OR(B114="HOST_USA",B114="TRIPARTITE"),1,0)&gt;0,COUNTIF(Competitions!A:A,D114)+COUNTIF(Ranking_Systems!A:A,D114)+COUNTIF(Olympic_Events!A:A,D114)&gt;0),"OK","BROKEN")</f>
        <v>OK</v>
      </c>
    </row>
    <row r="115" customFormat="false" ht="35.05" hidden="false" customHeight="false" outlineLevel="0" collapsed="false">
      <c r="A115" s="4" t="s">
        <v>777</v>
      </c>
      <c r="B115" s="4" t="s">
        <v>449</v>
      </c>
      <c r="C115" s="4" t="s">
        <v>515</v>
      </c>
      <c r="D115" s="4" t="s">
        <v>761</v>
      </c>
      <c r="E115" s="4" t="s">
        <v>517</v>
      </c>
      <c r="F115" s="4" t="s">
        <v>518</v>
      </c>
      <c r="G115" s="4"/>
      <c r="H115" s="11"/>
      <c r="I115" s="5" t="s">
        <v>762</v>
      </c>
      <c r="J115" s="5"/>
      <c r="K115" s="5"/>
      <c r="L115" s="5"/>
      <c r="M115" s="5" t="s">
        <v>778</v>
      </c>
      <c r="N115" s="4" t="n">
        <v>0</v>
      </c>
      <c r="O115" s="4"/>
      <c r="P115" s="4" t="s">
        <v>764</v>
      </c>
      <c r="Q115" s="4" t="s">
        <v>138</v>
      </c>
      <c r="R115" s="4"/>
      <c r="S115" s="4"/>
      <c r="T115" s="4" t="str">
        <f aca="false">IF(AND(COUNTIF(Competitions!A:A,B115)+COUNTIF(Ranking_Systems!A:A,B115)+COUNTIF(Olympic_Events!A:A,B115)+IF(OR(B115="HOST_USA",B115="TRIPARTITE"),1,0)&gt;0,COUNTIF(Competitions!A:A,D115)+COUNTIF(Ranking_Systems!A:A,D115)+COUNTIF(Olympic_Events!A:A,D115)&gt;0),"OK","BROKEN")</f>
        <v>OK</v>
      </c>
    </row>
    <row r="116" customFormat="false" ht="91" hidden="false" customHeight="false" outlineLevel="0" collapsed="false">
      <c r="A116" s="12" t="s">
        <v>779</v>
      </c>
      <c r="B116" s="12" t="s">
        <v>378</v>
      </c>
      <c r="C116" s="12" t="s">
        <v>515</v>
      </c>
      <c r="D116" s="12" t="s">
        <v>452</v>
      </c>
      <c r="E116" s="12" t="s">
        <v>515</v>
      </c>
      <c r="F116" s="12" t="s">
        <v>625</v>
      </c>
      <c r="G116" s="12"/>
      <c r="H116" s="12" t="n">
        <v>6</v>
      </c>
      <c r="I116" s="13" t="s">
        <v>780</v>
      </c>
      <c r="J116" s="13"/>
      <c r="K116" s="13" t="s">
        <v>781</v>
      </c>
      <c r="L116" s="13"/>
      <c r="M116" s="13" t="s">
        <v>782</v>
      </c>
      <c r="N116" s="12" t="n">
        <v>0</v>
      </c>
      <c r="O116" s="12"/>
      <c r="P116" s="12" t="s">
        <v>764</v>
      </c>
      <c r="Q116" s="12" t="s">
        <v>637</v>
      </c>
      <c r="R116" s="12"/>
      <c r="S116" s="12"/>
      <c r="T116" s="12" t="str">
        <f aca="false">IF(AND(COUNTIF(Competitions!A:A,B116)+COUNTIF(Ranking_Systems!A:A,B116)+COUNTIF(Olympic_Events!A:A,B116)+IF(OR(B116="HOST_USA",B116="TRIPARTITE"),1,0)&gt;0,COUNTIF(Competitions!A:A,D116)+COUNTIF(Ranking_Systems!A:A,D116)+COUNTIF(Olympic_Events!A:A,D116)&gt;0),"OK","BROKEN")</f>
        <v>OK</v>
      </c>
    </row>
    <row r="117" customFormat="false" ht="35.05" hidden="false" customHeight="false" outlineLevel="0" collapsed="false">
      <c r="A117" s="4" t="s">
        <v>783</v>
      </c>
      <c r="B117" s="4" t="s">
        <v>761</v>
      </c>
      <c r="C117" s="4" t="s">
        <v>517</v>
      </c>
      <c r="D117" s="4" t="s">
        <v>452</v>
      </c>
      <c r="E117" s="4" t="s">
        <v>515</v>
      </c>
      <c r="F117" s="4" t="s">
        <v>619</v>
      </c>
      <c r="G117" s="4"/>
      <c r="H117" s="11"/>
      <c r="I117" s="5" t="s">
        <v>784</v>
      </c>
      <c r="J117" s="5" t="s">
        <v>785</v>
      </c>
      <c r="K117" s="5" t="s">
        <v>786</v>
      </c>
      <c r="L117" s="5"/>
      <c r="M117" s="5" t="s">
        <v>787</v>
      </c>
      <c r="N117" s="4" t="n">
        <v>0</v>
      </c>
      <c r="O117" s="4"/>
      <c r="P117" s="4" t="s">
        <v>764</v>
      </c>
      <c r="Q117" s="4" t="s">
        <v>138</v>
      </c>
      <c r="R117" s="4"/>
      <c r="S117" s="4"/>
      <c r="T117" s="4" t="str">
        <f aca="false">IF(AND(COUNTIF(Competitions!A:A,B117)+COUNTIF(Ranking_Systems!A:A,B117)+COUNTIF(Olympic_Events!A:A,B117)+IF(OR(B117="HOST_USA",B117="TRIPARTITE"),1,0)&gt;0,COUNTIF(Competitions!A:A,D117)+COUNTIF(Ranking_Systems!A:A,D117)+COUNTIF(Olympic_Events!A:A,D117)&gt;0),"OK","BROKEN")</f>
        <v>OK</v>
      </c>
    </row>
    <row r="118" customFormat="false" ht="15" hidden="false" customHeight="false" outlineLevel="0" collapsed="false">
      <c r="A118" s="4" t="s">
        <v>788</v>
      </c>
      <c r="B118" s="4" t="s">
        <v>452</v>
      </c>
      <c r="C118" s="4" t="s">
        <v>515</v>
      </c>
      <c r="D118" s="4" t="s">
        <v>419</v>
      </c>
      <c r="E118" s="4" t="s">
        <v>515</v>
      </c>
      <c r="F118" s="4" t="s">
        <v>625</v>
      </c>
      <c r="G118" s="4"/>
      <c r="H118" s="4" t="n">
        <v>1</v>
      </c>
      <c r="I118" s="5" t="s">
        <v>789</v>
      </c>
      <c r="J118" s="5"/>
      <c r="K118" s="5"/>
      <c r="L118" s="5"/>
      <c r="M118" s="5"/>
      <c r="N118" s="4" t="n">
        <v>0</v>
      </c>
      <c r="O118" s="4"/>
      <c r="P118" s="4" t="s">
        <v>790</v>
      </c>
      <c r="Q118" s="4" t="s">
        <v>138</v>
      </c>
      <c r="R118" s="4"/>
      <c r="S118" s="4"/>
      <c r="T118" s="4" t="str">
        <f aca="false">IF(AND(COUNTIF(Competitions!A:A,B118)+COUNTIF(Ranking_Systems!A:A,B118)+COUNTIF(Olympic_Events!A:A,B118)+IF(OR(B118="HOST_USA",B118="TRIPARTITE"),1,0)&gt;0,COUNTIF(Competitions!A:A,D118)+COUNTIF(Ranking_Systems!A:A,D118)+COUNTIF(Olympic_Events!A:A,D118)&gt;0),"OK","BROKEN")</f>
        <v>OK</v>
      </c>
    </row>
    <row r="119" customFormat="false" ht="91" hidden="false" customHeight="false" outlineLevel="0" collapsed="false">
      <c r="A119" s="12" t="s">
        <v>791</v>
      </c>
      <c r="B119" s="12" t="s">
        <v>384</v>
      </c>
      <c r="C119" s="12" t="s">
        <v>515</v>
      </c>
      <c r="D119" s="12" t="s">
        <v>458</v>
      </c>
      <c r="E119" s="12" t="s">
        <v>515</v>
      </c>
      <c r="F119" s="12" t="s">
        <v>625</v>
      </c>
      <c r="G119" s="12"/>
      <c r="H119" s="12" t="n">
        <v>6</v>
      </c>
      <c r="I119" s="13" t="s">
        <v>792</v>
      </c>
      <c r="J119" s="13"/>
      <c r="K119" s="13" t="s">
        <v>781</v>
      </c>
      <c r="L119" s="13"/>
      <c r="M119" s="13" t="s">
        <v>793</v>
      </c>
      <c r="N119" s="12" t="n">
        <v>0</v>
      </c>
      <c r="O119" s="12"/>
      <c r="P119" s="12" t="s">
        <v>764</v>
      </c>
      <c r="Q119" s="12" t="s">
        <v>637</v>
      </c>
      <c r="R119" s="12"/>
      <c r="S119" s="12"/>
      <c r="T119" s="12" t="str">
        <f aca="false">IF(AND(COUNTIF(Competitions!A:A,B119)+COUNTIF(Ranking_Systems!A:A,B119)+COUNTIF(Olympic_Events!A:A,B119)+IF(OR(B119="HOST_USA",B119="TRIPARTITE"),1,0)&gt;0,COUNTIF(Competitions!A:A,D119)+COUNTIF(Ranking_Systems!A:A,D119)+COUNTIF(Olympic_Events!A:A,D119)&gt;0),"OK","BROKEN")</f>
        <v>OK</v>
      </c>
    </row>
    <row r="120" customFormat="false" ht="35.05" hidden="false" customHeight="false" outlineLevel="0" collapsed="false">
      <c r="A120" s="4" t="s">
        <v>794</v>
      </c>
      <c r="B120" s="4" t="s">
        <v>761</v>
      </c>
      <c r="C120" s="4" t="s">
        <v>517</v>
      </c>
      <c r="D120" s="4" t="s">
        <v>458</v>
      </c>
      <c r="E120" s="4" t="s">
        <v>515</v>
      </c>
      <c r="F120" s="4" t="s">
        <v>619</v>
      </c>
      <c r="G120" s="4"/>
      <c r="H120" s="11"/>
      <c r="I120" s="5" t="s">
        <v>795</v>
      </c>
      <c r="J120" s="5" t="s">
        <v>785</v>
      </c>
      <c r="K120" s="5" t="s">
        <v>786</v>
      </c>
      <c r="L120" s="5"/>
      <c r="M120" s="5" t="s">
        <v>787</v>
      </c>
      <c r="N120" s="4" t="n">
        <v>0</v>
      </c>
      <c r="O120" s="4"/>
      <c r="P120" s="4" t="s">
        <v>764</v>
      </c>
      <c r="Q120" s="4" t="s">
        <v>138</v>
      </c>
      <c r="R120" s="4"/>
      <c r="S120" s="4"/>
      <c r="T120" s="4" t="str">
        <f aca="false">IF(AND(COUNTIF(Competitions!A:A,B120)+COUNTIF(Ranking_Systems!A:A,B120)+COUNTIF(Olympic_Events!A:A,B120)+IF(OR(B120="HOST_USA",B120="TRIPARTITE"),1,0)&gt;0,COUNTIF(Competitions!A:A,D120)+COUNTIF(Ranking_Systems!A:A,D120)+COUNTIF(Olympic_Events!A:A,D120)&gt;0),"OK","BROKEN")</f>
        <v>OK</v>
      </c>
    </row>
    <row r="121" customFormat="false" ht="15" hidden="false" customHeight="false" outlineLevel="0" collapsed="false">
      <c r="A121" s="4" t="s">
        <v>796</v>
      </c>
      <c r="B121" s="4" t="s">
        <v>458</v>
      </c>
      <c r="C121" s="4" t="s">
        <v>515</v>
      </c>
      <c r="D121" s="4" t="s">
        <v>419</v>
      </c>
      <c r="E121" s="4" t="s">
        <v>515</v>
      </c>
      <c r="F121" s="4" t="s">
        <v>625</v>
      </c>
      <c r="G121" s="4"/>
      <c r="H121" s="4" t="n">
        <v>1</v>
      </c>
      <c r="I121" s="5" t="s">
        <v>797</v>
      </c>
      <c r="J121" s="5"/>
      <c r="K121" s="5"/>
      <c r="L121" s="5"/>
      <c r="M121" s="5"/>
      <c r="N121" s="4" t="n">
        <v>0</v>
      </c>
      <c r="O121" s="4"/>
      <c r="P121" s="4" t="s">
        <v>790</v>
      </c>
      <c r="Q121" s="4" t="s">
        <v>138</v>
      </c>
      <c r="R121" s="4"/>
      <c r="S121" s="4"/>
      <c r="T121" s="4" t="str">
        <f aca="false">IF(AND(COUNTIF(Competitions!A:A,B121)+COUNTIF(Ranking_Systems!A:A,B121)+COUNTIF(Olympic_Events!A:A,B121)+IF(OR(B121="HOST_USA",B121="TRIPARTITE"),1,0)&gt;0,COUNTIF(Competitions!A:A,D121)+COUNTIF(Ranking_Systems!A:A,D121)+COUNTIF(Olympic_Events!A:A,D121)&gt;0),"OK","BROKEN")</f>
        <v>OK</v>
      </c>
    </row>
    <row r="122" customFormat="false" ht="91" hidden="false" customHeight="false" outlineLevel="0" collapsed="false">
      <c r="A122" s="12" t="s">
        <v>798</v>
      </c>
      <c r="B122" s="12" t="s">
        <v>388</v>
      </c>
      <c r="C122" s="12" t="s">
        <v>515</v>
      </c>
      <c r="D122" s="12" t="s">
        <v>461</v>
      </c>
      <c r="E122" s="12" t="s">
        <v>515</v>
      </c>
      <c r="F122" s="12" t="s">
        <v>625</v>
      </c>
      <c r="G122" s="12"/>
      <c r="H122" s="12" t="n">
        <v>6</v>
      </c>
      <c r="I122" s="13" t="s">
        <v>799</v>
      </c>
      <c r="J122" s="13"/>
      <c r="K122" s="13" t="s">
        <v>781</v>
      </c>
      <c r="L122" s="13"/>
      <c r="M122" s="13" t="s">
        <v>800</v>
      </c>
      <c r="N122" s="12" t="n">
        <v>0</v>
      </c>
      <c r="O122" s="12"/>
      <c r="P122" s="12" t="s">
        <v>764</v>
      </c>
      <c r="Q122" s="12" t="s">
        <v>637</v>
      </c>
      <c r="R122" s="12"/>
      <c r="S122" s="12"/>
      <c r="T122" s="12" t="str">
        <f aca="false">IF(AND(COUNTIF(Competitions!A:A,B122)+COUNTIF(Ranking_Systems!A:A,B122)+COUNTIF(Olympic_Events!A:A,B122)+IF(OR(B122="HOST_USA",B122="TRIPARTITE"),1,0)&gt;0,COUNTIF(Competitions!A:A,D122)+COUNTIF(Ranking_Systems!A:A,D122)+COUNTIF(Olympic_Events!A:A,D122)&gt;0),"OK","BROKEN")</f>
        <v>OK</v>
      </c>
    </row>
    <row r="123" customFormat="false" ht="35.05" hidden="false" customHeight="false" outlineLevel="0" collapsed="false">
      <c r="A123" s="4" t="s">
        <v>801</v>
      </c>
      <c r="B123" s="4" t="s">
        <v>761</v>
      </c>
      <c r="C123" s="4" t="s">
        <v>517</v>
      </c>
      <c r="D123" s="4" t="s">
        <v>461</v>
      </c>
      <c r="E123" s="4" t="s">
        <v>515</v>
      </c>
      <c r="F123" s="4" t="s">
        <v>619</v>
      </c>
      <c r="G123" s="4"/>
      <c r="H123" s="11"/>
      <c r="I123" s="5" t="s">
        <v>802</v>
      </c>
      <c r="J123" s="5" t="s">
        <v>785</v>
      </c>
      <c r="K123" s="5" t="s">
        <v>786</v>
      </c>
      <c r="L123" s="5"/>
      <c r="M123" s="5" t="s">
        <v>787</v>
      </c>
      <c r="N123" s="4" t="n">
        <v>0</v>
      </c>
      <c r="O123" s="4"/>
      <c r="P123" s="4" t="s">
        <v>764</v>
      </c>
      <c r="Q123" s="4" t="s">
        <v>138</v>
      </c>
      <c r="R123" s="4"/>
      <c r="S123" s="4"/>
      <c r="T123" s="4" t="str">
        <f aca="false">IF(AND(COUNTIF(Competitions!A:A,B123)+COUNTIF(Ranking_Systems!A:A,B123)+COUNTIF(Olympic_Events!A:A,B123)+IF(OR(B123="HOST_USA",B123="TRIPARTITE"),1,0)&gt;0,COUNTIF(Competitions!A:A,D123)+COUNTIF(Ranking_Systems!A:A,D123)+COUNTIF(Olympic_Events!A:A,D123)&gt;0),"OK","BROKEN")</f>
        <v>OK</v>
      </c>
    </row>
    <row r="124" customFormat="false" ht="15" hidden="false" customHeight="false" outlineLevel="0" collapsed="false">
      <c r="A124" s="4" t="s">
        <v>803</v>
      </c>
      <c r="B124" s="4" t="s">
        <v>461</v>
      </c>
      <c r="C124" s="4" t="s">
        <v>515</v>
      </c>
      <c r="D124" s="4" t="s">
        <v>419</v>
      </c>
      <c r="E124" s="4" t="s">
        <v>515</v>
      </c>
      <c r="F124" s="4" t="s">
        <v>625</v>
      </c>
      <c r="G124" s="4"/>
      <c r="H124" s="4" t="n">
        <v>1</v>
      </c>
      <c r="I124" s="5" t="s">
        <v>804</v>
      </c>
      <c r="J124" s="5"/>
      <c r="K124" s="5"/>
      <c r="L124" s="5"/>
      <c r="M124" s="5"/>
      <c r="N124" s="4" t="n">
        <v>0</v>
      </c>
      <c r="O124" s="4"/>
      <c r="P124" s="4" t="s">
        <v>790</v>
      </c>
      <c r="Q124" s="4" t="s">
        <v>138</v>
      </c>
      <c r="R124" s="4"/>
      <c r="S124" s="4"/>
      <c r="T124" s="4" t="str">
        <f aca="false">IF(AND(COUNTIF(Competitions!A:A,B124)+COUNTIF(Ranking_Systems!A:A,B124)+COUNTIF(Olympic_Events!A:A,B124)+IF(OR(B124="HOST_USA",B124="TRIPARTITE"),1,0)&gt;0,COUNTIF(Competitions!A:A,D124)+COUNTIF(Ranking_Systems!A:A,D124)+COUNTIF(Olympic_Events!A:A,D124)&gt;0),"OK","BROKEN")</f>
        <v>OK</v>
      </c>
    </row>
    <row r="125" customFormat="false" ht="46.25" hidden="false" customHeight="false" outlineLevel="0" collapsed="false">
      <c r="A125" s="12" t="s">
        <v>805</v>
      </c>
      <c r="B125" s="12" t="s">
        <v>392</v>
      </c>
      <c r="C125" s="12" t="s">
        <v>515</v>
      </c>
      <c r="D125" s="12" t="s">
        <v>482</v>
      </c>
      <c r="E125" s="12" t="s">
        <v>515</v>
      </c>
      <c r="F125" s="12" t="s">
        <v>625</v>
      </c>
      <c r="G125" s="12"/>
      <c r="H125" s="12" t="n">
        <v>16</v>
      </c>
      <c r="I125" s="13" t="s">
        <v>806</v>
      </c>
      <c r="J125" s="13"/>
      <c r="K125" s="13" t="s">
        <v>781</v>
      </c>
      <c r="L125" s="13"/>
      <c r="M125" s="13" t="s">
        <v>807</v>
      </c>
      <c r="N125" s="12" t="n">
        <v>0</v>
      </c>
      <c r="O125" s="12"/>
      <c r="P125" s="12" t="s">
        <v>764</v>
      </c>
      <c r="Q125" s="12" t="s">
        <v>637</v>
      </c>
      <c r="R125" s="12"/>
      <c r="S125" s="12"/>
      <c r="T125" s="12" t="str">
        <f aca="false">IF(AND(COUNTIF(Competitions!A:A,B125)+COUNTIF(Ranking_Systems!A:A,B125)+COUNTIF(Olympic_Events!A:A,B125)+IF(OR(B125="HOST_USA",B125="TRIPARTITE"),1,0)&gt;0,COUNTIF(Competitions!A:A,D125)+COUNTIF(Ranking_Systems!A:A,D125)+COUNTIF(Olympic_Events!A:A,D125)&gt;0),"OK","BROKEN")</f>
        <v>OK</v>
      </c>
    </row>
    <row r="126" customFormat="false" ht="35.05" hidden="false" customHeight="false" outlineLevel="0" collapsed="false">
      <c r="A126" s="4" t="s">
        <v>808</v>
      </c>
      <c r="B126" s="4" t="s">
        <v>761</v>
      </c>
      <c r="C126" s="4" t="s">
        <v>517</v>
      </c>
      <c r="D126" s="4" t="s">
        <v>482</v>
      </c>
      <c r="E126" s="4" t="s">
        <v>515</v>
      </c>
      <c r="F126" s="4" t="s">
        <v>619</v>
      </c>
      <c r="G126" s="4"/>
      <c r="H126" s="11"/>
      <c r="I126" s="5" t="s">
        <v>809</v>
      </c>
      <c r="J126" s="5" t="s">
        <v>785</v>
      </c>
      <c r="K126" s="5" t="s">
        <v>786</v>
      </c>
      <c r="L126" s="5"/>
      <c r="M126" s="5" t="s">
        <v>787</v>
      </c>
      <c r="N126" s="4" t="n">
        <v>0</v>
      </c>
      <c r="O126" s="4"/>
      <c r="P126" s="4" t="s">
        <v>764</v>
      </c>
      <c r="Q126" s="4" t="s">
        <v>138</v>
      </c>
      <c r="R126" s="4"/>
      <c r="S126" s="4"/>
      <c r="T126" s="4" t="str">
        <f aca="false">IF(AND(COUNTIF(Competitions!A:A,B126)+COUNTIF(Ranking_Systems!A:A,B126)+COUNTIF(Olympic_Events!A:A,B126)+IF(OR(B126="HOST_USA",B126="TRIPARTITE"),1,0)&gt;0,COUNTIF(Competitions!A:A,D126)+COUNTIF(Ranking_Systems!A:A,D126)+COUNTIF(Olympic_Events!A:A,D126)&gt;0),"OK","BROKEN")</f>
        <v>OK</v>
      </c>
    </row>
    <row r="127" customFormat="false" ht="15" hidden="false" customHeight="false" outlineLevel="0" collapsed="false">
      <c r="A127" s="4" t="s">
        <v>810</v>
      </c>
      <c r="B127" s="4" t="s">
        <v>482</v>
      </c>
      <c r="C127" s="4" t="s">
        <v>515</v>
      </c>
      <c r="D127" s="4" t="s">
        <v>419</v>
      </c>
      <c r="E127" s="4" t="s">
        <v>515</v>
      </c>
      <c r="F127" s="4" t="s">
        <v>625</v>
      </c>
      <c r="G127" s="4"/>
      <c r="H127" s="4" t="n">
        <v>2</v>
      </c>
      <c r="I127" s="5" t="s">
        <v>811</v>
      </c>
      <c r="J127" s="5"/>
      <c r="K127" s="5"/>
      <c r="L127" s="5"/>
      <c r="M127" s="5" t="s">
        <v>812</v>
      </c>
      <c r="N127" s="4" t="n">
        <v>0</v>
      </c>
      <c r="O127" s="4"/>
      <c r="P127" s="4" t="s">
        <v>790</v>
      </c>
      <c r="Q127" s="4" t="s">
        <v>138</v>
      </c>
      <c r="R127" s="4"/>
      <c r="S127" s="4"/>
      <c r="T127" s="4" t="str">
        <f aca="false">IF(AND(COUNTIF(Competitions!A:A,B127)+COUNTIF(Ranking_Systems!A:A,B127)+COUNTIF(Olympic_Events!A:A,B127)+IF(OR(B127="HOST_USA",B127="TRIPARTITE"),1,0)&gt;0,COUNTIF(Competitions!A:A,D127)+COUNTIF(Ranking_Systems!A:A,D127)+COUNTIF(Olympic_Events!A:A,D127)&gt;0),"OK","BROKEN")</f>
        <v>OK</v>
      </c>
    </row>
    <row r="128" customFormat="false" ht="35.05" hidden="false" customHeight="false" outlineLevel="0" collapsed="false">
      <c r="A128" s="4" t="s">
        <v>813</v>
      </c>
      <c r="B128" s="4" t="s">
        <v>372</v>
      </c>
      <c r="C128" s="4" t="s">
        <v>515</v>
      </c>
      <c r="D128" s="4" t="s">
        <v>419</v>
      </c>
      <c r="E128" s="4" t="s">
        <v>515</v>
      </c>
      <c r="F128" s="4" t="s">
        <v>625</v>
      </c>
      <c r="G128" s="4"/>
      <c r="H128" s="4" t="n">
        <v>19</v>
      </c>
      <c r="I128" s="5" t="s">
        <v>814</v>
      </c>
      <c r="J128" s="5"/>
      <c r="K128" s="5" t="s">
        <v>815</v>
      </c>
      <c r="L128" s="5"/>
      <c r="M128" s="5" t="s">
        <v>816</v>
      </c>
      <c r="N128" s="4" t="n">
        <v>0</v>
      </c>
      <c r="O128" s="4"/>
      <c r="P128" s="4" t="s">
        <v>817</v>
      </c>
      <c r="Q128" s="4" t="s">
        <v>138</v>
      </c>
      <c r="R128" s="4"/>
      <c r="S128" s="4"/>
      <c r="T128" s="4" t="str">
        <f aca="false">IF(AND(COUNTIF(Competitions!A:A,B128)+COUNTIF(Ranking_Systems!A:A,B128)+COUNTIF(Olympic_Events!A:A,B128)+IF(OR(B128="HOST_USA",B128="TRIPARTITE"),1,0)&gt;0,COUNTIF(Competitions!A:A,D128)+COUNTIF(Ranking_Systems!A:A,D128)+COUNTIF(Olympic_Events!A:A,D128)&gt;0),"OK","BROKEN")</f>
        <v>OK</v>
      </c>
    </row>
    <row r="129" customFormat="false" ht="23.85" hidden="false" customHeight="false" outlineLevel="0" collapsed="false">
      <c r="A129" s="4" t="s">
        <v>818</v>
      </c>
      <c r="B129" s="4" t="s">
        <v>596</v>
      </c>
      <c r="C129" s="4" t="s">
        <v>597</v>
      </c>
      <c r="D129" s="4" t="s">
        <v>112</v>
      </c>
      <c r="E129" s="4" t="s">
        <v>530</v>
      </c>
      <c r="F129" s="4" t="s">
        <v>598</v>
      </c>
      <c r="G129" s="4" t="n">
        <v>1</v>
      </c>
      <c r="H129" s="11"/>
      <c r="I129" s="5" t="s">
        <v>744</v>
      </c>
      <c r="J129" s="5"/>
      <c r="K129" s="5"/>
      <c r="L129" s="5"/>
      <c r="M129" s="5" t="s">
        <v>819</v>
      </c>
      <c r="N129" s="4" t="n">
        <v>10</v>
      </c>
      <c r="O129" s="4"/>
      <c r="P129" s="4" t="s">
        <v>820</v>
      </c>
      <c r="Q129" s="4" t="s">
        <v>705</v>
      </c>
      <c r="R129" s="4"/>
      <c r="S129" s="4"/>
      <c r="T129" s="4" t="str">
        <f aca="false">IF(AND(COUNTIF(Competitions!A:A,B129)+COUNTIF(Ranking_Systems!A:A,B129)+COUNTIF(Olympic_Events!A:A,B129)+IF(OR(B129="HOST_USA",B129="TRIPARTITE"),1,0)&gt;0,COUNTIF(Competitions!A:A,D129)+COUNTIF(Ranking_Systems!A:A,D129)+COUNTIF(Olympic_Events!A:A,D129)&gt;0),"OK","BROKEN")</f>
        <v>OK</v>
      </c>
    </row>
    <row r="130" customFormat="false" ht="23.85" hidden="false" customHeight="false" outlineLevel="0" collapsed="false">
      <c r="A130" s="4" t="s">
        <v>821</v>
      </c>
      <c r="B130" s="4" t="s">
        <v>347</v>
      </c>
      <c r="C130" s="4" t="s">
        <v>515</v>
      </c>
      <c r="D130" s="4" t="s">
        <v>112</v>
      </c>
      <c r="E130" s="4" t="s">
        <v>530</v>
      </c>
      <c r="F130" s="4" t="s">
        <v>630</v>
      </c>
      <c r="G130" s="4" t="n">
        <v>1</v>
      </c>
      <c r="H130" s="11"/>
      <c r="I130" s="5" t="s">
        <v>822</v>
      </c>
      <c r="J130" s="5"/>
      <c r="K130" s="5"/>
      <c r="L130" s="5"/>
      <c r="M130" s="5" t="s">
        <v>823</v>
      </c>
      <c r="N130" s="4" t="n">
        <v>20</v>
      </c>
      <c r="O130" s="4"/>
      <c r="P130" s="4" t="s">
        <v>824</v>
      </c>
      <c r="Q130" s="4" t="s">
        <v>138</v>
      </c>
      <c r="R130" s="4"/>
      <c r="S130" s="4"/>
      <c r="T130" s="4" t="str">
        <f aca="false">IF(AND(COUNTIF(Competitions!A:A,B130)+COUNTIF(Ranking_Systems!A:A,B130)+COUNTIF(Olympic_Events!A:A,B130)+IF(OR(B130="HOST_USA",B130="TRIPARTITE"),1,0)&gt;0,COUNTIF(Competitions!A:A,D130)+COUNTIF(Ranking_Systems!A:A,D130)+COUNTIF(Olympic_Events!A:A,D130)&gt;0),"OK","BROKEN")</f>
        <v>OK</v>
      </c>
    </row>
    <row r="131" customFormat="false" ht="79.85" hidden="false" customHeight="false" outlineLevel="0" collapsed="false">
      <c r="A131" s="4" t="s">
        <v>825</v>
      </c>
      <c r="B131" s="4" t="s">
        <v>425</v>
      </c>
      <c r="C131" s="4" t="s">
        <v>515</v>
      </c>
      <c r="D131" s="4" t="s">
        <v>112</v>
      </c>
      <c r="E131" s="4" t="s">
        <v>530</v>
      </c>
      <c r="F131" s="4" t="s">
        <v>630</v>
      </c>
      <c r="G131" s="4" t="n">
        <v>10</v>
      </c>
      <c r="H131" s="11"/>
      <c r="I131" s="5" t="s">
        <v>826</v>
      </c>
      <c r="J131" s="5"/>
      <c r="K131" s="5"/>
      <c r="L131" s="5" t="s">
        <v>827</v>
      </c>
      <c r="M131" s="5" t="s">
        <v>828</v>
      </c>
      <c r="N131" s="4" t="n">
        <v>30</v>
      </c>
      <c r="O131" s="4"/>
      <c r="P131" s="4" t="s">
        <v>829</v>
      </c>
      <c r="Q131" s="4" t="s">
        <v>138</v>
      </c>
      <c r="R131" s="4"/>
      <c r="S131" s="4"/>
      <c r="T131" s="4" t="str">
        <f aca="false">IF(AND(COUNTIF(Competitions!A:A,B131)+COUNTIF(Ranking_Systems!A:A,B131)+COUNTIF(Olympic_Events!A:A,B131)+IF(OR(B131="HOST_USA",B131="TRIPARTITE"),1,0)&gt;0,COUNTIF(Competitions!A:A,D131)+COUNTIF(Ranking_Systems!A:A,D131)+COUNTIF(Olympic_Events!A:A,D131)&gt;0),"OK","BROKEN")</f>
        <v>OK</v>
      </c>
    </row>
    <row r="132" customFormat="false" ht="23.85" hidden="false" customHeight="false" outlineLevel="0" collapsed="false">
      <c r="A132" s="4" t="s">
        <v>830</v>
      </c>
      <c r="B132" s="4" t="s">
        <v>318</v>
      </c>
      <c r="C132" s="4" t="s">
        <v>515</v>
      </c>
      <c r="D132" s="4" t="s">
        <v>347</v>
      </c>
      <c r="E132" s="4" t="s">
        <v>515</v>
      </c>
      <c r="F132" s="4" t="s">
        <v>625</v>
      </c>
      <c r="G132" s="4"/>
      <c r="H132" s="4" t="n">
        <v>16</v>
      </c>
      <c r="I132" s="5" t="s">
        <v>831</v>
      </c>
      <c r="J132" s="5"/>
      <c r="K132" s="5"/>
      <c r="L132" s="5"/>
      <c r="M132" s="5" t="s">
        <v>832</v>
      </c>
      <c r="N132" s="4" t="n">
        <v>0</v>
      </c>
      <c r="O132" s="4"/>
      <c r="P132" s="4" t="s">
        <v>833</v>
      </c>
      <c r="Q132" s="4" t="s">
        <v>221</v>
      </c>
      <c r="R132" s="4"/>
      <c r="S132" s="4"/>
      <c r="T132" s="4" t="str">
        <f aca="false">IF(AND(COUNTIF(Competitions!A:A,B132)+COUNTIF(Ranking_Systems!A:A,B132)+COUNTIF(Olympic_Events!A:A,B132)+IF(OR(B132="HOST_USA",B132="TRIPARTITE"),1,0)&gt;0,COUNTIF(Competitions!A:A,D132)+COUNTIF(Ranking_Systems!A:A,D132)+COUNTIF(Olympic_Events!A:A,D132)&gt;0),"OK","BROKEN")</f>
        <v>OK</v>
      </c>
    </row>
    <row r="133" customFormat="false" ht="23.85" hidden="false" customHeight="false" outlineLevel="0" collapsed="false">
      <c r="A133" s="4" t="s">
        <v>834</v>
      </c>
      <c r="B133" s="4" t="s">
        <v>318</v>
      </c>
      <c r="C133" s="4" t="s">
        <v>515</v>
      </c>
      <c r="D133" s="4" t="s">
        <v>353</v>
      </c>
      <c r="E133" s="4" t="s">
        <v>515</v>
      </c>
      <c r="F133" s="4" t="s">
        <v>625</v>
      </c>
      <c r="G133" s="4"/>
      <c r="H133" s="4" t="n">
        <v>8</v>
      </c>
      <c r="I133" s="5" t="s">
        <v>835</v>
      </c>
      <c r="J133" s="5"/>
      <c r="K133" s="5" t="s">
        <v>836</v>
      </c>
      <c r="L133" s="5"/>
      <c r="M133" s="5" t="s">
        <v>837</v>
      </c>
      <c r="N133" s="4" t="n">
        <v>0</v>
      </c>
      <c r="O133" s="4"/>
      <c r="P133" s="4" t="s">
        <v>833</v>
      </c>
      <c r="Q133" s="4" t="s">
        <v>138</v>
      </c>
      <c r="R133" s="4"/>
      <c r="S133" s="4"/>
      <c r="T133" s="4" t="str">
        <f aca="false">IF(AND(COUNTIF(Competitions!A:A,B133)+COUNTIF(Ranking_Systems!A:A,B133)+COUNTIF(Olympic_Events!A:A,B133)+IF(OR(B133="HOST_USA",B133="TRIPARTITE"),1,0)&gt;0,COUNTIF(Competitions!A:A,D133)+COUNTIF(Ranking_Systems!A:A,D133)+COUNTIF(Olympic_Events!A:A,D133)&gt;0),"OK","BROKEN")</f>
        <v>OK</v>
      </c>
    </row>
    <row r="134" customFormat="false" ht="35.05" hidden="false" customHeight="false" outlineLevel="0" collapsed="false">
      <c r="A134" s="4" t="s">
        <v>838</v>
      </c>
      <c r="B134" s="4" t="s">
        <v>353</v>
      </c>
      <c r="C134" s="4" t="s">
        <v>515</v>
      </c>
      <c r="D134" s="4" t="s">
        <v>425</v>
      </c>
      <c r="E134" s="4" t="s">
        <v>515</v>
      </c>
      <c r="F134" s="4" t="s">
        <v>625</v>
      </c>
      <c r="G134" s="4"/>
      <c r="H134" s="4" t="n">
        <v>1</v>
      </c>
      <c r="I134" s="5" t="s">
        <v>839</v>
      </c>
      <c r="J134" s="5"/>
      <c r="K134" s="5"/>
      <c r="L134" s="5"/>
      <c r="M134" s="5" t="s">
        <v>840</v>
      </c>
      <c r="N134" s="4" t="n">
        <v>0</v>
      </c>
      <c r="O134" s="4"/>
      <c r="P134" s="4" t="s">
        <v>841</v>
      </c>
      <c r="Q134" s="4" t="s">
        <v>138</v>
      </c>
      <c r="R134" s="4"/>
      <c r="S134" s="4"/>
      <c r="T134" s="4" t="str">
        <f aca="false">IF(AND(COUNTIF(Competitions!A:A,B134)+COUNTIF(Ranking_Systems!A:A,B134)+COUNTIF(Olympic_Events!A:A,B134)+IF(OR(B134="HOST_USA",B134="TRIPARTITE"),1,0)&gt;0,COUNTIF(Competitions!A:A,D134)+COUNTIF(Ranking_Systems!A:A,D134)+COUNTIF(Olympic_Events!A:A,D134)&gt;0),"OK","BROKEN")</f>
        <v>OK</v>
      </c>
    </row>
    <row r="135" customFormat="false" ht="23.85" hidden="false" customHeight="false" outlineLevel="0" collapsed="false">
      <c r="A135" s="4" t="s">
        <v>842</v>
      </c>
      <c r="B135" s="4" t="s">
        <v>440</v>
      </c>
      <c r="C135" s="4" t="s">
        <v>515</v>
      </c>
      <c r="D135" s="4" t="s">
        <v>425</v>
      </c>
      <c r="E135" s="4" t="s">
        <v>515</v>
      </c>
      <c r="F135" s="4" t="s">
        <v>625</v>
      </c>
      <c r="G135" s="4"/>
      <c r="H135" s="4" t="n">
        <v>6</v>
      </c>
      <c r="I135" s="5" t="s">
        <v>843</v>
      </c>
      <c r="J135" s="5"/>
      <c r="K135" s="5"/>
      <c r="L135" s="5"/>
      <c r="M135" s="5" t="s">
        <v>844</v>
      </c>
      <c r="N135" s="4" t="n">
        <v>0</v>
      </c>
      <c r="O135" s="4"/>
      <c r="P135" s="4" t="s">
        <v>845</v>
      </c>
      <c r="Q135" s="4" t="s">
        <v>138</v>
      </c>
      <c r="R135" s="4"/>
      <c r="S135" s="4"/>
      <c r="T135" s="4" t="str">
        <f aca="false">IF(AND(COUNTIF(Competitions!A:A,B135)+COUNTIF(Ranking_Systems!A:A,B135)+COUNTIF(Olympic_Events!A:A,B135)+IF(OR(B135="HOST_USA",B135="TRIPARTITE"),1,0)&gt;0,COUNTIF(Competitions!A:A,D135)+COUNTIF(Ranking_Systems!A:A,D135)+COUNTIF(Olympic_Events!A:A,D135)&gt;0),"OK","BROKEN")</f>
        <v>OK</v>
      </c>
    </row>
    <row r="136" customFormat="false" ht="23.85" hidden="false" customHeight="false" outlineLevel="0" collapsed="false">
      <c r="A136" s="4" t="s">
        <v>846</v>
      </c>
      <c r="B136" s="4" t="s">
        <v>397</v>
      </c>
      <c r="C136" s="4" t="s">
        <v>515</v>
      </c>
      <c r="D136" s="4" t="s">
        <v>425</v>
      </c>
      <c r="E136" s="4" t="s">
        <v>515</v>
      </c>
      <c r="F136" s="4" t="s">
        <v>625</v>
      </c>
      <c r="G136" s="4"/>
      <c r="H136" s="4" t="n">
        <v>4</v>
      </c>
      <c r="I136" s="5" t="s">
        <v>847</v>
      </c>
      <c r="J136" s="5"/>
      <c r="K136" s="5"/>
      <c r="L136" s="5"/>
      <c r="M136" s="5" t="s">
        <v>848</v>
      </c>
      <c r="N136" s="4" t="n">
        <v>0</v>
      </c>
      <c r="O136" s="4"/>
      <c r="P136" s="4" t="s">
        <v>845</v>
      </c>
      <c r="Q136" s="4" t="s">
        <v>138</v>
      </c>
      <c r="R136" s="4"/>
      <c r="S136" s="4"/>
      <c r="T136" s="4" t="str">
        <f aca="false">IF(AND(COUNTIF(Competitions!A:A,B136)+COUNTIF(Ranking_Systems!A:A,B136)+COUNTIF(Olympic_Events!A:A,B136)+IF(OR(B136="HOST_USA",B136="TRIPARTITE"),1,0)&gt;0,COUNTIF(Competitions!A:A,D136)+COUNTIF(Ranking_Systems!A:A,D136)+COUNTIF(Olympic_Events!A:A,D136)&gt;0),"OK","BROKEN")</f>
        <v>OK</v>
      </c>
    </row>
    <row r="137" customFormat="false" ht="23.85" hidden="false" customHeight="false" outlineLevel="0" collapsed="false">
      <c r="A137" s="4" t="s">
        <v>849</v>
      </c>
      <c r="B137" s="4" t="s">
        <v>402</v>
      </c>
      <c r="C137" s="4" t="s">
        <v>515</v>
      </c>
      <c r="D137" s="4" t="s">
        <v>425</v>
      </c>
      <c r="E137" s="4" t="s">
        <v>515</v>
      </c>
      <c r="F137" s="4" t="s">
        <v>625</v>
      </c>
      <c r="G137" s="4"/>
      <c r="H137" s="4" t="n">
        <v>4</v>
      </c>
      <c r="I137" s="5" t="s">
        <v>850</v>
      </c>
      <c r="J137" s="5"/>
      <c r="K137" s="5"/>
      <c r="L137" s="5"/>
      <c r="M137" s="5" t="s">
        <v>848</v>
      </c>
      <c r="N137" s="4" t="n">
        <v>0</v>
      </c>
      <c r="O137" s="4"/>
      <c r="P137" s="4" t="s">
        <v>845</v>
      </c>
      <c r="Q137" s="4" t="s">
        <v>138</v>
      </c>
      <c r="R137" s="4"/>
      <c r="S137" s="4"/>
      <c r="T137" s="4" t="str">
        <f aca="false">IF(AND(COUNTIF(Competitions!A:A,B137)+COUNTIF(Ranking_Systems!A:A,B137)+COUNTIF(Olympic_Events!A:A,B137)+IF(OR(B137="HOST_USA",B137="TRIPARTITE"),1,0)&gt;0,COUNTIF(Competitions!A:A,D137)+COUNTIF(Ranking_Systems!A:A,D137)+COUNTIF(Olympic_Events!A:A,D137)&gt;0),"OK","BROKEN")</f>
        <v>OK</v>
      </c>
    </row>
    <row r="138" customFormat="false" ht="23.85" hidden="false" customHeight="false" outlineLevel="0" collapsed="false">
      <c r="A138" s="4" t="s">
        <v>851</v>
      </c>
      <c r="B138" s="4" t="s">
        <v>309</v>
      </c>
      <c r="C138" s="4" t="s">
        <v>515</v>
      </c>
      <c r="D138" s="4" t="s">
        <v>425</v>
      </c>
      <c r="E138" s="4" t="s">
        <v>515</v>
      </c>
      <c r="F138" s="4" t="s">
        <v>625</v>
      </c>
      <c r="G138" s="4"/>
      <c r="H138" s="4" t="n">
        <v>2</v>
      </c>
      <c r="I138" s="5" t="s">
        <v>852</v>
      </c>
      <c r="J138" s="5"/>
      <c r="K138" s="5"/>
      <c r="L138" s="5"/>
      <c r="M138" s="5" t="s">
        <v>848</v>
      </c>
      <c r="N138" s="4" t="n">
        <v>0</v>
      </c>
      <c r="O138" s="4"/>
      <c r="P138" s="4" t="s">
        <v>845</v>
      </c>
      <c r="Q138" s="4" t="s">
        <v>138</v>
      </c>
      <c r="R138" s="4"/>
      <c r="S138" s="4"/>
      <c r="T138" s="4" t="str">
        <f aca="false">IF(AND(COUNTIF(Competitions!A:A,B138)+COUNTIF(Ranking_Systems!A:A,B138)+COUNTIF(Olympic_Events!A:A,B138)+IF(OR(B138="HOST_USA",B138="TRIPARTITE"),1,0)&gt;0,COUNTIF(Competitions!A:A,D138)+COUNTIF(Ranking_Systems!A:A,D138)+COUNTIF(Olympic_Events!A:A,D138)&gt;0),"OK","BROKEN")</f>
        <v>OK</v>
      </c>
    </row>
    <row r="139" customFormat="false" ht="15" hidden="false" customHeight="false" outlineLevel="0" collapsed="false">
      <c r="A139" s="4" t="s">
        <v>853</v>
      </c>
      <c r="B139" s="4" t="s">
        <v>445</v>
      </c>
      <c r="C139" s="4" t="s">
        <v>515</v>
      </c>
      <c r="D139" s="4" t="s">
        <v>440</v>
      </c>
      <c r="E139" s="4" t="s">
        <v>515</v>
      </c>
      <c r="F139" s="4" t="s">
        <v>625</v>
      </c>
      <c r="G139" s="4"/>
      <c r="H139" s="4" t="n">
        <v>12</v>
      </c>
      <c r="I139" s="5" t="s">
        <v>854</v>
      </c>
      <c r="J139" s="5"/>
      <c r="K139" s="5"/>
      <c r="L139" s="5"/>
      <c r="M139" s="5" t="s">
        <v>855</v>
      </c>
      <c r="N139" s="4" t="n">
        <v>0</v>
      </c>
      <c r="O139" s="4"/>
      <c r="P139" s="4" t="s">
        <v>845</v>
      </c>
      <c r="Q139" s="4" t="s">
        <v>221</v>
      </c>
      <c r="R139" s="4"/>
      <c r="S139" s="4"/>
      <c r="T139" s="4" t="str">
        <f aca="false">IF(AND(COUNTIF(Competitions!A:A,B139)+COUNTIF(Ranking_Systems!A:A,B139)+COUNTIF(Olympic_Events!A:A,B139)+IF(OR(B139="HOST_USA",B139="TRIPARTITE"),1,0)&gt;0,COUNTIF(Competitions!A:A,D139)+COUNTIF(Ranking_Systems!A:A,D139)+COUNTIF(Olympic_Events!A:A,D139)&gt;0),"OK","BROKEN")</f>
        <v>OK</v>
      </c>
    </row>
    <row r="140" customFormat="false" ht="15" hidden="false" customHeight="false" outlineLevel="0" collapsed="false">
      <c r="A140" s="4" t="s">
        <v>856</v>
      </c>
      <c r="B140" s="4" t="s">
        <v>464</v>
      </c>
      <c r="C140" s="4" t="s">
        <v>515</v>
      </c>
      <c r="D140" s="4" t="s">
        <v>309</v>
      </c>
      <c r="E140" s="4" t="s">
        <v>515</v>
      </c>
      <c r="F140" s="4" t="s">
        <v>625</v>
      </c>
      <c r="G140" s="4"/>
      <c r="H140" s="11"/>
      <c r="I140" s="5" t="s">
        <v>854</v>
      </c>
      <c r="J140" s="5" t="s">
        <v>857</v>
      </c>
      <c r="K140" s="5"/>
      <c r="L140" s="5"/>
      <c r="M140" s="5"/>
      <c r="N140" s="4" t="n">
        <v>0</v>
      </c>
      <c r="O140" s="4"/>
      <c r="P140" s="4" t="s">
        <v>845</v>
      </c>
      <c r="Q140" s="4" t="s">
        <v>221</v>
      </c>
      <c r="R140" s="4"/>
      <c r="S140" s="4"/>
      <c r="T140" s="4" t="str">
        <f aca="false">IF(AND(COUNTIF(Competitions!A:A,B140)+COUNTIF(Ranking_Systems!A:A,B140)+COUNTIF(Olympic_Events!A:A,B140)+IF(OR(B140="HOST_USA",B140="TRIPARTITE"),1,0)&gt;0,COUNTIF(Competitions!A:A,D140)+COUNTIF(Ranking_Systems!A:A,D140)+COUNTIF(Olympic_Events!A:A,D140)&gt;0),"OK","BROKEN")</f>
        <v>OK</v>
      </c>
    </row>
    <row r="141" customFormat="false" ht="23.85" hidden="false" customHeight="false" outlineLevel="0" collapsed="false">
      <c r="A141" s="4" t="s">
        <v>858</v>
      </c>
      <c r="B141" s="4" t="s">
        <v>467</v>
      </c>
      <c r="C141" s="4" t="s">
        <v>515</v>
      </c>
      <c r="D141" s="4" t="s">
        <v>397</v>
      </c>
      <c r="E141" s="4" t="s">
        <v>515</v>
      </c>
      <c r="F141" s="4" t="s">
        <v>625</v>
      </c>
      <c r="G141" s="4"/>
      <c r="H141" s="4" t="n">
        <v>4</v>
      </c>
      <c r="I141" s="5" t="s">
        <v>854</v>
      </c>
      <c r="J141" s="5"/>
      <c r="K141" s="5"/>
      <c r="L141" s="5"/>
      <c r="M141" s="5" t="s">
        <v>859</v>
      </c>
      <c r="N141" s="4" t="n">
        <v>0</v>
      </c>
      <c r="O141" s="4"/>
      <c r="P141" s="4" t="s">
        <v>845</v>
      </c>
      <c r="Q141" s="4" t="s">
        <v>221</v>
      </c>
      <c r="R141" s="4"/>
      <c r="S141" s="4"/>
      <c r="T141" s="4" t="str">
        <f aca="false">IF(AND(COUNTIF(Competitions!A:A,B141)+COUNTIF(Ranking_Systems!A:A,B141)+COUNTIF(Olympic_Events!A:A,B141)+IF(OR(B141="HOST_USA",B141="TRIPARTITE"),1,0)&gt;0,COUNTIF(Competitions!A:A,D141)+COUNTIF(Ranking_Systems!A:A,D141)+COUNTIF(Olympic_Events!A:A,D141)&gt;0),"OK","BROKEN")</f>
        <v>OK</v>
      </c>
    </row>
    <row r="142" customFormat="false" ht="23.85" hidden="false" customHeight="false" outlineLevel="0" collapsed="false">
      <c r="A142" s="4" t="s">
        <v>860</v>
      </c>
      <c r="B142" s="4" t="s">
        <v>861</v>
      </c>
      <c r="C142" s="4" t="s">
        <v>517</v>
      </c>
      <c r="D142" s="4" t="s">
        <v>353</v>
      </c>
      <c r="E142" s="4" t="s">
        <v>515</v>
      </c>
      <c r="F142" s="4" t="s">
        <v>862</v>
      </c>
      <c r="G142" s="4"/>
      <c r="H142" s="11"/>
      <c r="I142" s="5" t="s">
        <v>863</v>
      </c>
      <c r="J142" s="5"/>
      <c r="K142" s="5"/>
      <c r="L142" s="5"/>
      <c r="M142" s="5" t="s">
        <v>864</v>
      </c>
      <c r="N142" s="4" t="n">
        <v>0</v>
      </c>
      <c r="O142" s="4"/>
      <c r="P142" s="4" t="s">
        <v>865</v>
      </c>
      <c r="Q142" s="4" t="s">
        <v>138</v>
      </c>
      <c r="R142" s="4"/>
      <c r="S142" s="4"/>
      <c r="T142" s="4" t="str">
        <f aca="false">IF(AND(COUNTIF(Competitions!A:A,B142)+COUNTIF(Ranking_Systems!A:A,B142)+COUNTIF(Olympic_Events!A:A,B142)+IF(OR(B142="HOST_USA",B142="TRIPARTITE"),1,0)&gt;0,COUNTIF(Competitions!A:A,D142)+COUNTIF(Ranking_Systems!A:A,D142)+COUNTIF(Olympic_Events!A:A,D142)&gt;0),"OK","BROKEN")</f>
        <v>OK</v>
      </c>
    </row>
    <row r="143" customFormat="false" ht="23.85" hidden="false" customHeight="false" outlineLevel="0" collapsed="false">
      <c r="A143" s="4" t="s">
        <v>866</v>
      </c>
      <c r="B143" s="4" t="s">
        <v>861</v>
      </c>
      <c r="C143" s="4" t="s">
        <v>517</v>
      </c>
      <c r="D143" s="4" t="s">
        <v>425</v>
      </c>
      <c r="E143" s="4" t="s">
        <v>515</v>
      </c>
      <c r="F143" s="4" t="s">
        <v>862</v>
      </c>
      <c r="G143" s="4"/>
      <c r="H143" s="11"/>
      <c r="I143" s="5" t="s">
        <v>867</v>
      </c>
      <c r="J143" s="5"/>
      <c r="K143" s="5"/>
      <c r="L143" s="5"/>
      <c r="M143" s="5" t="s">
        <v>864</v>
      </c>
      <c r="N143" s="4" t="n">
        <v>0</v>
      </c>
      <c r="O143" s="4"/>
      <c r="P143" s="4" t="s">
        <v>865</v>
      </c>
      <c r="Q143" s="4" t="s">
        <v>138</v>
      </c>
      <c r="R143" s="4"/>
      <c r="S143" s="4"/>
      <c r="T143" s="4" t="str">
        <f aca="false">IF(AND(COUNTIF(Competitions!A:A,B143)+COUNTIF(Ranking_Systems!A:A,B143)+COUNTIF(Olympic_Events!A:A,B143)+IF(OR(B143="HOST_USA",B143="TRIPARTITE"),1,0)&gt;0,COUNTIF(Competitions!A:A,D143)+COUNTIF(Ranking_Systems!A:A,D143)+COUNTIF(Olympic_Events!A:A,D143)&gt;0),"OK","BROKEN")</f>
        <v>OK</v>
      </c>
    </row>
    <row r="144" customFormat="false" ht="35.05" hidden="false" customHeight="false" outlineLevel="0" collapsed="false">
      <c r="A144" s="4" t="s">
        <v>868</v>
      </c>
      <c r="B144" s="4" t="s">
        <v>209</v>
      </c>
      <c r="C144" s="4" t="s">
        <v>515</v>
      </c>
      <c r="D144" s="4" t="s">
        <v>488</v>
      </c>
      <c r="E144" s="4" t="s">
        <v>515</v>
      </c>
      <c r="F144" s="4" t="s">
        <v>625</v>
      </c>
      <c r="G144" s="4"/>
      <c r="H144" s="4" t="n">
        <v>8</v>
      </c>
      <c r="I144" s="5" t="s">
        <v>869</v>
      </c>
      <c r="J144" s="5"/>
      <c r="K144" s="5" t="s">
        <v>870</v>
      </c>
      <c r="L144" s="5"/>
      <c r="M144" s="5" t="s">
        <v>871</v>
      </c>
      <c r="N144" s="4" t="n">
        <v>0</v>
      </c>
      <c r="O144" s="4"/>
      <c r="P144" s="4" t="s">
        <v>494</v>
      </c>
      <c r="Q144" s="4" t="s">
        <v>495</v>
      </c>
      <c r="R144" s="4"/>
      <c r="S144" s="4"/>
      <c r="T144" s="4" t="str">
        <f aca="false">IF(AND(COUNTIF(Competitions!A:A,B144)+COUNTIF(Ranking_Systems!A:A,B144)+COUNTIF(Olympic_Events!A:A,B144)+IF(OR(B144="HOST_USA",B144="TRIPARTITE"),1,0)&gt;0,COUNTIF(Competitions!A:A,D144)+COUNTIF(Ranking_Systems!A:A,D144)+COUNTIF(Olympic_Events!A:A,D144)&gt;0),"OK","BROKEN")</f>
        <v>OK</v>
      </c>
    </row>
    <row r="145" customFormat="false" ht="15" hidden="false" customHeight="false" outlineLevel="0" collapsed="false">
      <c r="A145" s="4" t="s">
        <v>872</v>
      </c>
      <c r="B145" s="4" t="s">
        <v>488</v>
      </c>
      <c r="C145" s="4" t="s">
        <v>515</v>
      </c>
      <c r="D145" s="4" t="s">
        <v>199</v>
      </c>
      <c r="E145" s="4" t="s">
        <v>515</v>
      </c>
      <c r="F145" s="4" t="s">
        <v>625</v>
      </c>
      <c r="G145" s="4"/>
      <c r="H145" s="4" t="n">
        <v>4</v>
      </c>
      <c r="I145" s="5" t="s">
        <v>873</v>
      </c>
      <c r="J145" s="5"/>
      <c r="K145" s="5"/>
      <c r="L145" s="5"/>
      <c r="M145" s="5"/>
      <c r="N145" s="4" t="n">
        <v>0</v>
      </c>
      <c r="O145" s="4"/>
      <c r="P145" s="4" t="s">
        <v>494</v>
      </c>
      <c r="Q145" s="4" t="s">
        <v>495</v>
      </c>
      <c r="R145" s="4"/>
      <c r="S145" s="4"/>
      <c r="T145" s="4" t="str">
        <f aca="false">IF(AND(COUNTIF(Competitions!A:A,B145)+COUNTIF(Ranking_Systems!A:A,B145)+COUNTIF(Olympic_Events!A:A,B145)+IF(OR(B145="HOST_USA",B145="TRIPARTITE"),1,0)&gt;0,COUNTIF(Competitions!A:A,D145)+COUNTIF(Ranking_Systems!A:A,D145)+COUNTIF(Olympic_Events!A:A,D145)&gt;0),"OK","BROKEN")</f>
        <v>OK</v>
      </c>
    </row>
    <row r="146" customFormat="false" ht="35.05" hidden="false" customHeight="false" outlineLevel="0" collapsed="false">
      <c r="A146" s="4" t="s">
        <v>874</v>
      </c>
      <c r="B146" s="4" t="s">
        <v>640</v>
      </c>
      <c r="C146" s="4" t="s">
        <v>517</v>
      </c>
      <c r="D146" s="4" t="s">
        <v>96</v>
      </c>
      <c r="E146" s="4" t="s">
        <v>530</v>
      </c>
      <c r="F146" s="4" t="s">
        <v>875</v>
      </c>
      <c r="G146" s="4"/>
      <c r="H146" s="4" t="n">
        <v>1</v>
      </c>
      <c r="I146" s="5" t="s">
        <v>876</v>
      </c>
      <c r="J146" s="5"/>
      <c r="K146" s="5" t="s">
        <v>877</v>
      </c>
      <c r="L146" s="5" t="s">
        <v>878</v>
      </c>
      <c r="M146" s="5"/>
      <c r="N146" s="4" t="n">
        <v>25</v>
      </c>
      <c r="O146" s="4"/>
      <c r="P146" s="4" t="s">
        <v>879</v>
      </c>
      <c r="Q146" s="4" t="s">
        <v>611</v>
      </c>
      <c r="R146" s="4"/>
      <c r="S146" s="4" t="s">
        <v>880</v>
      </c>
      <c r="T146" s="4" t="str">
        <f aca="false">IF(AND(COUNTIF(Competitions!A:A,B146)+COUNTIF(Ranking_Systems!A:A,B146)+COUNTIF(Olympic_Events!A:A,B146)+IF(OR(B146="HOST_USA",B146="TRIPARTITE"),1,0)&gt;0,COUNTIF(Competitions!A:A,D146)+COUNTIF(Ranking_Systems!A:A,D146)+COUNTIF(Olympic_Events!A:A,D146)&gt;0),"OK","BROKEN")</f>
        <v>OK</v>
      </c>
    </row>
    <row r="147" customFormat="false" ht="35.05" hidden="false" customHeight="false" outlineLevel="0" collapsed="false">
      <c r="A147" s="4" t="s">
        <v>881</v>
      </c>
      <c r="B147" s="4" t="s">
        <v>607</v>
      </c>
      <c r="C147" s="4" t="s">
        <v>517</v>
      </c>
      <c r="D147" s="4" t="s">
        <v>91</v>
      </c>
      <c r="E147" s="4" t="s">
        <v>530</v>
      </c>
      <c r="F147" s="4" t="s">
        <v>875</v>
      </c>
      <c r="G147" s="4"/>
      <c r="H147" s="4" t="n">
        <v>1</v>
      </c>
      <c r="I147" s="5" t="s">
        <v>882</v>
      </c>
      <c r="J147" s="5"/>
      <c r="K147" s="5" t="s">
        <v>883</v>
      </c>
      <c r="L147" s="5" t="s">
        <v>884</v>
      </c>
      <c r="M147" s="5"/>
      <c r="N147" s="4" t="n">
        <v>25</v>
      </c>
      <c r="O147" s="4"/>
      <c r="P147" s="4" t="s">
        <v>879</v>
      </c>
      <c r="Q147" s="4" t="s">
        <v>611</v>
      </c>
      <c r="R147" s="4"/>
      <c r="S147" s="4" t="s">
        <v>885</v>
      </c>
      <c r="T147" s="4" t="str">
        <f aca="false">IF(AND(COUNTIF(Competitions!A:A,B147)+COUNTIF(Ranking_Systems!A:A,B147)+COUNTIF(Olympic_Events!A:A,B147)+IF(OR(B147="HOST_USA",B147="TRIPARTITE"),1,0)&gt;0,COUNTIF(Competitions!A:A,D147)+COUNTIF(Ranking_Systems!A:A,D147)+COUNTIF(Olympic_Events!A:A,D147)&gt;0),"OK","BROKEN")</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6" min="6" style="0" width="40"/>
    <col collapsed="false" customWidth="true" hidden="false" outlineLevel="0" max="14" min="14" style="0" width="20"/>
    <col collapsed="false" customWidth="true" hidden="false" outlineLevel="0" max="16" min="16" style="0" width="96"/>
    <col collapsed="false" customWidth="true" hidden="false" outlineLevel="0" max="18" min="18" style="0" width="52"/>
  </cols>
  <sheetData>
    <row r="1" customFormat="false" ht="15" hidden="false" customHeight="false" outlineLevel="0" collapsed="false">
      <c r="A1" s="3" t="s">
        <v>886</v>
      </c>
      <c r="B1" s="3" t="s">
        <v>116</v>
      </c>
      <c r="C1" s="3" t="s">
        <v>887</v>
      </c>
      <c r="D1" s="3" t="s">
        <v>47</v>
      </c>
      <c r="E1" s="3" t="s">
        <v>48</v>
      </c>
      <c r="F1" s="3" t="s">
        <v>888</v>
      </c>
      <c r="G1" s="3" t="s">
        <v>889</v>
      </c>
      <c r="H1" s="3" t="s">
        <v>890</v>
      </c>
      <c r="I1" s="3" t="s">
        <v>891</v>
      </c>
      <c r="J1" s="3" t="s">
        <v>892</v>
      </c>
      <c r="K1" s="3" t="s">
        <v>893</v>
      </c>
      <c r="L1" s="3" t="s">
        <v>894</v>
      </c>
      <c r="M1" s="3" t="s">
        <v>895</v>
      </c>
      <c r="N1" s="3" t="s">
        <v>896</v>
      </c>
      <c r="O1" s="3" t="s">
        <v>897</v>
      </c>
      <c r="P1" s="3" t="s">
        <v>898</v>
      </c>
      <c r="Q1" s="3" t="s">
        <v>899</v>
      </c>
      <c r="R1" s="3" t="s">
        <v>900</v>
      </c>
      <c r="S1" s="3" t="s">
        <v>126</v>
      </c>
      <c r="T1" s="3" t="s">
        <v>127</v>
      </c>
    </row>
    <row r="2" customFormat="false" ht="15" hidden="false" customHeight="false" outlineLevel="0" collapsed="false">
      <c r="A2" s="4" t="s">
        <v>516</v>
      </c>
      <c r="B2" s="4" t="s">
        <v>901</v>
      </c>
      <c r="C2" s="4" t="s">
        <v>902</v>
      </c>
      <c r="D2" s="4" t="s">
        <v>56</v>
      </c>
      <c r="E2" s="4" t="s">
        <v>88</v>
      </c>
      <c r="F2" s="4" t="s">
        <v>136</v>
      </c>
      <c r="G2" s="4" t="s">
        <v>131</v>
      </c>
      <c r="H2" s="4" t="s">
        <v>132</v>
      </c>
      <c r="I2" s="4" t="s">
        <v>132</v>
      </c>
      <c r="J2" s="4" t="s">
        <v>903</v>
      </c>
      <c r="K2" s="4"/>
      <c r="L2" s="4" t="s">
        <v>904</v>
      </c>
      <c r="M2" s="4" t="s">
        <v>905</v>
      </c>
      <c r="N2" s="4" t="s">
        <v>906</v>
      </c>
      <c r="O2" s="4" t="s">
        <v>907</v>
      </c>
      <c r="P2" s="5" t="s">
        <v>908</v>
      </c>
      <c r="Q2" s="4"/>
      <c r="R2" s="5" t="s">
        <v>909</v>
      </c>
      <c r="S2" s="4" t="s">
        <v>137</v>
      </c>
      <c r="T2" s="4" t="s">
        <v>138</v>
      </c>
    </row>
    <row r="3" customFormat="false" ht="35.05" hidden="false" customHeight="false" outlineLevel="0" collapsed="false">
      <c r="A3" s="4" t="s">
        <v>523</v>
      </c>
      <c r="B3" s="4" t="s">
        <v>910</v>
      </c>
      <c r="C3" s="4" t="s">
        <v>902</v>
      </c>
      <c r="D3" s="4" t="s">
        <v>56</v>
      </c>
      <c r="E3" s="4" t="s">
        <v>88</v>
      </c>
      <c r="F3" s="4" t="s">
        <v>136</v>
      </c>
      <c r="G3" s="4" t="s">
        <v>131</v>
      </c>
      <c r="H3" s="4" t="s">
        <v>132</v>
      </c>
      <c r="I3" s="4" t="s">
        <v>132</v>
      </c>
      <c r="J3" s="4" t="s">
        <v>903</v>
      </c>
      <c r="K3" s="4"/>
      <c r="L3" s="4" t="s">
        <v>911</v>
      </c>
      <c r="M3" s="4" t="s">
        <v>912</v>
      </c>
      <c r="N3" s="4" t="s">
        <v>913</v>
      </c>
      <c r="O3" s="4" t="s">
        <v>914</v>
      </c>
      <c r="P3" s="5" t="s">
        <v>915</v>
      </c>
      <c r="Q3" s="4"/>
      <c r="R3" s="5" t="s">
        <v>909</v>
      </c>
      <c r="S3" s="4" t="s">
        <v>146</v>
      </c>
      <c r="T3" s="4" t="s">
        <v>138</v>
      </c>
    </row>
    <row r="4" customFormat="false" ht="57.45" hidden="false" customHeight="false" outlineLevel="0" collapsed="false">
      <c r="A4" s="4" t="s">
        <v>607</v>
      </c>
      <c r="B4" s="4" t="s">
        <v>916</v>
      </c>
      <c r="C4" s="4" t="s">
        <v>917</v>
      </c>
      <c r="D4" s="4" t="s">
        <v>92</v>
      </c>
      <c r="E4" s="4" t="s">
        <v>57</v>
      </c>
      <c r="F4" s="4" t="s">
        <v>918</v>
      </c>
      <c r="G4" s="11"/>
      <c r="H4" s="4" t="s">
        <v>919</v>
      </c>
      <c r="I4" s="4" t="s">
        <v>919</v>
      </c>
      <c r="J4" s="4" t="s">
        <v>903</v>
      </c>
      <c r="K4" s="4"/>
      <c r="L4" s="4" t="s">
        <v>920</v>
      </c>
      <c r="M4" s="4" t="s">
        <v>912</v>
      </c>
      <c r="N4" s="4" t="s">
        <v>91</v>
      </c>
      <c r="O4" s="4" t="s">
        <v>914</v>
      </c>
      <c r="P4" s="5" t="s">
        <v>921</v>
      </c>
      <c r="Q4" s="4"/>
      <c r="R4" s="5" t="s">
        <v>922</v>
      </c>
      <c r="S4" s="4" t="s">
        <v>923</v>
      </c>
      <c r="T4" s="4" t="s">
        <v>138</v>
      </c>
    </row>
    <row r="5" customFormat="false" ht="46.25" hidden="false" customHeight="false" outlineLevel="0" collapsed="false">
      <c r="A5" s="4" t="s">
        <v>640</v>
      </c>
      <c r="B5" s="4" t="s">
        <v>924</v>
      </c>
      <c r="C5" s="4" t="s">
        <v>917</v>
      </c>
      <c r="D5" s="4" t="s">
        <v>92</v>
      </c>
      <c r="E5" s="4" t="s">
        <v>75</v>
      </c>
      <c r="F5" s="4" t="s">
        <v>925</v>
      </c>
      <c r="G5" s="11"/>
      <c r="H5" s="4" t="s">
        <v>297</v>
      </c>
      <c r="I5" s="4" t="s">
        <v>297</v>
      </c>
      <c r="J5" s="4" t="s">
        <v>903</v>
      </c>
      <c r="K5" s="4"/>
      <c r="L5" s="4" t="s">
        <v>920</v>
      </c>
      <c r="M5" s="4" t="s">
        <v>912</v>
      </c>
      <c r="N5" s="4" t="s">
        <v>96</v>
      </c>
      <c r="O5" s="4" t="s">
        <v>914</v>
      </c>
      <c r="P5" s="5" t="s">
        <v>926</v>
      </c>
      <c r="Q5" s="4"/>
      <c r="R5" s="5" t="s">
        <v>927</v>
      </c>
      <c r="S5" s="4" t="s">
        <v>928</v>
      </c>
      <c r="T5" s="4" t="s">
        <v>138</v>
      </c>
    </row>
    <row r="6" customFormat="false" ht="15" hidden="false" customHeight="false" outlineLevel="0" collapsed="false">
      <c r="A6" s="7" t="s">
        <v>929</v>
      </c>
      <c r="B6" s="7" t="s">
        <v>930</v>
      </c>
      <c r="C6" s="7" t="s">
        <v>931</v>
      </c>
      <c r="D6" s="7" t="s">
        <v>344</v>
      </c>
      <c r="E6" s="7" t="s">
        <v>75</v>
      </c>
      <c r="F6" s="11"/>
      <c r="G6" s="11"/>
      <c r="H6" s="7"/>
      <c r="I6" s="7" t="s">
        <v>932</v>
      </c>
      <c r="J6" s="7" t="s">
        <v>933</v>
      </c>
      <c r="K6" s="7" t="n">
        <v>1</v>
      </c>
      <c r="L6" s="7"/>
      <c r="M6" s="7"/>
      <c r="N6" s="7"/>
      <c r="O6" s="11"/>
      <c r="P6" s="9" t="s">
        <v>934</v>
      </c>
      <c r="Q6" s="7"/>
      <c r="R6" s="9"/>
      <c r="S6" s="7"/>
      <c r="T6" s="7" t="s">
        <v>935</v>
      </c>
    </row>
    <row r="7" customFormat="false" ht="15" hidden="false" customHeight="false" outlineLevel="0" collapsed="false">
      <c r="A7" s="7" t="s">
        <v>936</v>
      </c>
      <c r="B7" s="7" t="s">
        <v>937</v>
      </c>
      <c r="C7" s="7" t="s">
        <v>938</v>
      </c>
      <c r="D7" s="7" t="s">
        <v>360</v>
      </c>
      <c r="E7" s="7" t="s">
        <v>57</v>
      </c>
      <c r="F7" s="11"/>
      <c r="G7" s="11"/>
      <c r="H7" s="7"/>
      <c r="I7" s="7" t="s">
        <v>939</v>
      </c>
      <c r="J7" s="7" t="s">
        <v>940</v>
      </c>
      <c r="K7" s="7"/>
      <c r="L7" s="7"/>
      <c r="M7" s="7"/>
      <c r="N7" s="7"/>
      <c r="O7" s="11"/>
      <c r="P7" s="9" t="s">
        <v>941</v>
      </c>
      <c r="Q7" s="7"/>
      <c r="R7" s="9"/>
      <c r="S7" s="7"/>
      <c r="T7" s="7" t="s">
        <v>935</v>
      </c>
    </row>
    <row r="8" customFormat="false" ht="15" hidden="false" customHeight="false" outlineLevel="0" collapsed="false">
      <c r="A8" s="7" t="s">
        <v>942</v>
      </c>
      <c r="B8" s="7" t="s">
        <v>943</v>
      </c>
      <c r="C8" s="7" t="s">
        <v>944</v>
      </c>
      <c r="D8" s="7" t="s">
        <v>369</v>
      </c>
      <c r="E8" s="7" t="s">
        <v>88</v>
      </c>
      <c r="F8" s="11"/>
      <c r="G8" s="11"/>
      <c r="H8" s="7"/>
      <c r="I8" s="7" t="s">
        <v>945</v>
      </c>
      <c r="J8" s="7" t="s">
        <v>940</v>
      </c>
      <c r="K8" s="7"/>
      <c r="L8" s="7"/>
      <c r="M8" s="7"/>
      <c r="N8" s="7"/>
      <c r="O8" s="11"/>
      <c r="P8" s="9" t="s">
        <v>946</v>
      </c>
      <c r="Q8" s="7"/>
      <c r="R8" s="9"/>
      <c r="S8" s="7"/>
      <c r="T8" s="7" t="s">
        <v>935</v>
      </c>
    </row>
    <row r="9" customFormat="false" ht="46.25" hidden="false" customHeight="false" outlineLevel="0" collapsed="false">
      <c r="A9" s="4" t="s">
        <v>761</v>
      </c>
      <c r="B9" s="4" t="s">
        <v>947</v>
      </c>
      <c r="C9" s="4" t="s">
        <v>931</v>
      </c>
      <c r="D9" s="4" t="s">
        <v>108</v>
      </c>
      <c r="E9" s="4" t="s">
        <v>57</v>
      </c>
      <c r="F9" s="4" t="s">
        <v>948</v>
      </c>
      <c r="G9" s="11"/>
      <c r="H9" s="4" t="s">
        <v>949</v>
      </c>
      <c r="I9" s="4" t="s">
        <v>949</v>
      </c>
      <c r="J9" s="4" t="s">
        <v>903</v>
      </c>
      <c r="K9" s="4" t="n">
        <v>7</v>
      </c>
      <c r="L9" s="4" t="s">
        <v>920</v>
      </c>
      <c r="M9" s="4" t="s">
        <v>912</v>
      </c>
      <c r="N9" s="4" t="s">
        <v>950</v>
      </c>
      <c r="O9" s="4" t="s">
        <v>907</v>
      </c>
      <c r="P9" s="5" t="s">
        <v>951</v>
      </c>
      <c r="Q9" s="4"/>
      <c r="R9" s="5" t="s">
        <v>952</v>
      </c>
      <c r="S9" s="4" t="s">
        <v>953</v>
      </c>
      <c r="T9" s="4" t="s">
        <v>138</v>
      </c>
    </row>
    <row r="10" customFormat="false" ht="35.05" hidden="false" customHeight="false" outlineLevel="0" collapsed="false">
      <c r="A10" s="4" t="s">
        <v>861</v>
      </c>
      <c r="B10" s="4" t="s">
        <v>954</v>
      </c>
      <c r="C10" s="4" t="s">
        <v>931</v>
      </c>
      <c r="D10" s="4" t="s">
        <v>108</v>
      </c>
      <c r="E10" s="4" t="s">
        <v>75</v>
      </c>
      <c r="F10" s="4" t="s">
        <v>948</v>
      </c>
      <c r="G10" s="11"/>
      <c r="H10" s="4" t="s">
        <v>955</v>
      </c>
      <c r="I10" s="4" t="s">
        <v>955</v>
      </c>
      <c r="J10" s="4" t="s">
        <v>956</v>
      </c>
      <c r="K10" s="4"/>
      <c r="L10" s="4" t="s">
        <v>920</v>
      </c>
      <c r="M10" s="4" t="s">
        <v>912</v>
      </c>
      <c r="N10" s="4" t="s">
        <v>957</v>
      </c>
      <c r="O10" s="4" t="s">
        <v>907</v>
      </c>
      <c r="P10" s="5" t="s">
        <v>958</v>
      </c>
      <c r="Q10" s="4"/>
      <c r="R10" s="5" t="s">
        <v>959</v>
      </c>
      <c r="S10" s="4" t="s">
        <v>960</v>
      </c>
      <c r="T10" s="4"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3" style="0" width="18"/>
    <col collapsed="false" customWidth="true" hidden="false" outlineLevel="0" max="4" min="4" style="0" width="12"/>
    <col collapsed="false" customWidth="true" hidden="false" outlineLevel="0" max="9" min="9" style="0" width="64"/>
    <col collapsed="false" customWidth="true" hidden="false" outlineLevel="0" max="11" min="11" style="0" width="44"/>
  </cols>
  <sheetData>
    <row r="1" customFormat="false" ht="15" hidden="false" customHeight="false" outlineLevel="0" collapsed="false">
      <c r="A1" s="3" t="s">
        <v>886</v>
      </c>
      <c r="B1" s="3" t="s">
        <v>961</v>
      </c>
      <c r="C1" s="3" t="s">
        <v>962</v>
      </c>
      <c r="D1" s="3" t="s">
        <v>963</v>
      </c>
      <c r="E1" s="3" t="s">
        <v>964</v>
      </c>
      <c r="F1" s="3" t="s">
        <v>965</v>
      </c>
      <c r="G1" s="3" t="s">
        <v>966</v>
      </c>
      <c r="H1" s="3" t="s">
        <v>967</v>
      </c>
      <c r="I1" s="3" t="s">
        <v>509</v>
      </c>
      <c r="J1" s="3" t="s">
        <v>968</v>
      </c>
      <c r="K1" s="3" t="s">
        <v>969</v>
      </c>
      <c r="L1" s="3" t="s">
        <v>127</v>
      </c>
      <c r="M1" s="3" t="s">
        <v>970</v>
      </c>
      <c r="N1" s="3" t="s">
        <v>971</v>
      </c>
      <c r="O1" s="3" t="s">
        <v>972</v>
      </c>
      <c r="P1" s="3" t="s">
        <v>973</v>
      </c>
    </row>
    <row r="2" customFormat="false" ht="15" hidden="false" customHeight="false" outlineLevel="0" collapsed="false">
      <c r="A2" s="4" t="s">
        <v>607</v>
      </c>
      <c r="B2" s="4" t="n">
        <v>1</v>
      </c>
      <c r="C2" s="4" t="s">
        <v>974</v>
      </c>
      <c r="D2" s="4" t="s">
        <v>975</v>
      </c>
      <c r="E2" s="4" t="n">
        <v>275</v>
      </c>
      <c r="F2" s="4" t="n">
        <v>52</v>
      </c>
      <c r="G2" s="4" t="n">
        <v>14306</v>
      </c>
      <c r="H2" s="4" t="s">
        <v>976</v>
      </c>
      <c r="I2" s="5"/>
      <c r="J2" s="4" t="s">
        <v>338</v>
      </c>
      <c r="K2" s="4" t="s">
        <v>977</v>
      </c>
      <c r="L2" s="4" t="s">
        <v>216</v>
      </c>
      <c r="M2" s="4" t="s">
        <v>976</v>
      </c>
      <c r="N2" s="4" t="s">
        <v>978</v>
      </c>
      <c r="O2" s="4" t="s">
        <v>979</v>
      </c>
      <c r="P2" s="4" t="s">
        <v>979</v>
      </c>
    </row>
    <row r="3" customFormat="false" ht="15" hidden="false" customHeight="false" outlineLevel="0" collapsed="false">
      <c r="A3" s="4" t="s">
        <v>607</v>
      </c>
      <c r="B3" s="4" t="n">
        <v>2</v>
      </c>
      <c r="C3" s="4" t="s">
        <v>980</v>
      </c>
      <c r="D3" s="4" t="s">
        <v>981</v>
      </c>
      <c r="E3" s="4" t="n">
        <v>262</v>
      </c>
      <c r="F3" s="4" t="n">
        <v>34</v>
      </c>
      <c r="G3" s="4" t="n">
        <v>8904</v>
      </c>
      <c r="H3" s="4" t="s">
        <v>976</v>
      </c>
      <c r="I3" s="5" t="s">
        <v>982</v>
      </c>
      <c r="J3" s="4" t="s">
        <v>338</v>
      </c>
      <c r="K3" s="4" t="s">
        <v>977</v>
      </c>
      <c r="L3" s="4" t="s">
        <v>216</v>
      </c>
      <c r="M3" s="4" t="s">
        <v>976</v>
      </c>
      <c r="N3" s="4" t="s">
        <v>983</v>
      </c>
      <c r="O3" s="4" t="s">
        <v>979</v>
      </c>
      <c r="P3" s="4" t="s">
        <v>979</v>
      </c>
    </row>
    <row r="4" customFormat="false" ht="15" hidden="false" customHeight="false" outlineLevel="0" collapsed="false">
      <c r="A4" s="4" t="s">
        <v>607</v>
      </c>
      <c r="B4" s="4" t="n">
        <v>3</v>
      </c>
      <c r="C4" s="4" t="s">
        <v>984</v>
      </c>
      <c r="D4" s="4" t="s">
        <v>985</v>
      </c>
      <c r="E4" s="4" t="n">
        <v>258</v>
      </c>
      <c r="F4" s="4" t="n">
        <v>35</v>
      </c>
      <c r="G4" s="4" t="n">
        <v>9044</v>
      </c>
      <c r="H4" s="4" t="s">
        <v>976</v>
      </c>
      <c r="I4" s="5"/>
      <c r="J4" s="4" t="s">
        <v>338</v>
      </c>
      <c r="K4" s="4" t="s">
        <v>977</v>
      </c>
      <c r="L4" s="4" t="s">
        <v>216</v>
      </c>
      <c r="M4" s="4" t="s">
        <v>976</v>
      </c>
      <c r="N4" s="4" t="s">
        <v>986</v>
      </c>
      <c r="O4" s="4" t="s">
        <v>979</v>
      </c>
      <c r="P4" s="4" t="s">
        <v>979</v>
      </c>
    </row>
    <row r="5" customFormat="false" ht="15" hidden="false" customHeight="false" outlineLevel="0" collapsed="false">
      <c r="A5" s="4" t="s">
        <v>607</v>
      </c>
      <c r="B5" s="4" t="n">
        <v>4</v>
      </c>
      <c r="C5" s="4" t="s">
        <v>987</v>
      </c>
      <c r="D5" s="4" t="s">
        <v>985</v>
      </c>
      <c r="E5" s="4" t="n">
        <v>247</v>
      </c>
      <c r="F5" s="4" t="n">
        <v>50</v>
      </c>
      <c r="G5" s="4" t="n">
        <v>12348</v>
      </c>
      <c r="H5" s="4" t="s">
        <v>976</v>
      </c>
      <c r="I5" s="5"/>
      <c r="J5" s="4" t="s">
        <v>338</v>
      </c>
      <c r="K5" s="4" t="s">
        <v>977</v>
      </c>
      <c r="L5" s="4" t="s">
        <v>216</v>
      </c>
      <c r="M5" s="4" t="s">
        <v>979</v>
      </c>
      <c r="N5" s="4"/>
      <c r="O5" s="4" t="s">
        <v>979</v>
      </c>
      <c r="P5" s="4" t="s">
        <v>979</v>
      </c>
    </row>
    <row r="6" customFormat="false" ht="15" hidden="false" customHeight="false" outlineLevel="0" collapsed="false">
      <c r="A6" s="4" t="s">
        <v>607</v>
      </c>
      <c r="B6" s="4" t="n">
        <v>5</v>
      </c>
      <c r="C6" s="4" t="s">
        <v>988</v>
      </c>
      <c r="D6" s="4" t="s">
        <v>989</v>
      </c>
      <c r="E6" s="4" t="n">
        <v>244</v>
      </c>
      <c r="F6" s="4" t="n">
        <v>48</v>
      </c>
      <c r="G6" s="4" t="n">
        <v>11717</v>
      </c>
      <c r="H6" s="4" t="s">
        <v>976</v>
      </c>
      <c r="I6" s="5"/>
      <c r="J6" s="4" t="s">
        <v>338</v>
      </c>
      <c r="K6" s="4" t="s">
        <v>977</v>
      </c>
      <c r="L6" s="4" t="s">
        <v>216</v>
      </c>
      <c r="M6" s="4" t="s">
        <v>976</v>
      </c>
      <c r="N6" s="4" t="s">
        <v>990</v>
      </c>
      <c r="O6" s="4" t="s">
        <v>979</v>
      </c>
      <c r="P6" s="4" t="s">
        <v>979</v>
      </c>
    </row>
    <row r="7" customFormat="false" ht="15" hidden="false" customHeight="false" outlineLevel="0" collapsed="false">
      <c r="A7" s="4" t="s">
        <v>607</v>
      </c>
      <c r="B7" s="4" t="n">
        <v>6</v>
      </c>
      <c r="C7" s="4" t="s">
        <v>991</v>
      </c>
      <c r="D7" s="4" t="s">
        <v>975</v>
      </c>
      <c r="E7" s="4" t="n">
        <v>240</v>
      </c>
      <c r="F7" s="4" t="n">
        <v>57</v>
      </c>
      <c r="G7" s="4" t="n">
        <v>13679</v>
      </c>
      <c r="H7" s="4" t="s">
        <v>976</v>
      </c>
      <c r="I7" s="5"/>
      <c r="J7" s="4" t="s">
        <v>338</v>
      </c>
      <c r="K7" s="4" t="s">
        <v>977</v>
      </c>
      <c r="L7" s="4" t="s">
        <v>216</v>
      </c>
      <c r="M7" s="4" t="s">
        <v>979</v>
      </c>
      <c r="N7" s="4"/>
      <c r="O7" s="4" t="s">
        <v>979</v>
      </c>
      <c r="P7" s="4" t="s">
        <v>979</v>
      </c>
    </row>
    <row r="8" customFormat="false" ht="23.85" hidden="false" customHeight="false" outlineLevel="0" collapsed="false">
      <c r="A8" s="4" t="s">
        <v>607</v>
      </c>
      <c r="B8" s="4" t="n">
        <v>7</v>
      </c>
      <c r="C8" s="4" t="s">
        <v>992</v>
      </c>
      <c r="D8" s="4" t="s">
        <v>993</v>
      </c>
      <c r="E8" s="4" t="n">
        <v>233</v>
      </c>
      <c r="F8" s="4" t="n">
        <v>53</v>
      </c>
      <c r="G8" s="4" t="n">
        <v>12367</v>
      </c>
      <c r="H8" s="4" t="s">
        <v>979</v>
      </c>
      <c r="I8" s="5" t="s">
        <v>994</v>
      </c>
      <c r="J8" s="4" t="s">
        <v>338</v>
      </c>
      <c r="K8" s="4" t="s">
        <v>977</v>
      </c>
      <c r="L8" s="4" t="s">
        <v>216</v>
      </c>
      <c r="M8" s="4" t="s">
        <v>979</v>
      </c>
      <c r="N8" s="4"/>
      <c r="O8" s="4" t="s">
        <v>979</v>
      </c>
      <c r="P8" s="4" t="s">
        <v>976</v>
      </c>
    </row>
    <row r="9" customFormat="false" ht="15" hidden="false" customHeight="false" outlineLevel="0" collapsed="false">
      <c r="A9" s="4" t="s">
        <v>607</v>
      </c>
      <c r="B9" s="4" t="n">
        <v>8</v>
      </c>
      <c r="C9" s="4" t="s">
        <v>995</v>
      </c>
      <c r="D9" s="4" t="s">
        <v>975</v>
      </c>
      <c r="E9" s="4" t="n">
        <v>225</v>
      </c>
      <c r="F9" s="4" t="n">
        <v>47</v>
      </c>
      <c r="G9" s="4" t="n">
        <v>10576</v>
      </c>
      <c r="H9" s="4" t="s">
        <v>976</v>
      </c>
      <c r="I9" s="5"/>
      <c r="J9" s="4" t="s">
        <v>338</v>
      </c>
      <c r="K9" s="4" t="s">
        <v>977</v>
      </c>
      <c r="L9" s="4" t="s">
        <v>216</v>
      </c>
      <c r="M9" s="4" t="s">
        <v>979</v>
      </c>
      <c r="N9" s="4"/>
      <c r="O9" s="4" t="s">
        <v>979</v>
      </c>
      <c r="P9" s="4" t="s">
        <v>979</v>
      </c>
    </row>
    <row r="10" customFormat="false" ht="15" hidden="false" customHeight="false" outlineLevel="0" collapsed="false">
      <c r="A10" s="4" t="s">
        <v>607</v>
      </c>
      <c r="B10" s="4" t="n">
        <v>9</v>
      </c>
      <c r="C10" s="4" t="s">
        <v>996</v>
      </c>
      <c r="D10" s="4" t="s">
        <v>975</v>
      </c>
      <c r="E10" s="4" t="n">
        <v>221</v>
      </c>
      <c r="F10" s="4" t="n">
        <v>41</v>
      </c>
      <c r="G10" s="4" t="n">
        <v>9053</v>
      </c>
      <c r="H10" s="4" t="s">
        <v>976</v>
      </c>
      <c r="I10" s="5"/>
      <c r="J10" s="4" t="s">
        <v>338</v>
      </c>
      <c r="K10" s="4" t="s">
        <v>977</v>
      </c>
      <c r="L10" s="4" t="s">
        <v>216</v>
      </c>
      <c r="M10" s="4" t="s">
        <v>979</v>
      </c>
      <c r="N10" s="4"/>
      <c r="O10" s="4" t="s">
        <v>979</v>
      </c>
      <c r="P10" s="4" t="s">
        <v>979</v>
      </c>
    </row>
    <row r="11" customFormat="false" ht="15" hidden="false" customHeight="false" outlineLevel="0" collapsed="false">
      <c r="A11" s="4" t="s">
        <v>607</v>
      </c>
      <c r="B11" s="4" t="n">
        <v>10</v>
      </c>
      <c r="C11" s="4" t="s">
        <v>997</v>
      </c>
      <c r="D11" s="4" t="s">
        <v>975</v>
      </c>
      <c r="E11" s="4" t="n">
        <v>220</v>
      </c>
      <c r="F11" s="4" t="n">
        <v>36</v>
      </c>
      <c r="G11" s="4" t="n">
        <v>7935</v>
      </c>
      <c r="H11" s="4" t="s">
        <v>976</v>
      </c>
      <c r="I11" s="5"/>
      <c r="J11" s="4" t="s">
        <v>338</v>
      </c>
      <c r="K11" s="4" t="s">
        <v>977</v>
      </c>
      <c r="L11" s="4" t="s">
        <v>216</v>
      </c>
      <c r="M11" s="4" t="s">
        <v>979</v>
      </c>
      <c r="N11" s="4"/>
      <c r="O11" s="4" t="s">
        <v>979</v>
      </c>
      <c r="P11" s="4" t="s">
        <v>979</v>
      </c>
    </row>
    <row r="12" customFormat="false" ht="15" hidden="false" customHeight="false" outlineLevel="0" collapsed="false">
      <c r="A12" s="4" t="s">
        <v>607</v>
      </c>
      <c r="B12" s="4" t="n">
        <v>11</v>
      </c>
      <c r="C12" s="4" t="s">
        <v>998</v>
      </c>
      <c r="D12" s="4" t="s">
        <v>989</v>
      </c>
      <c r="E12" s="4" t="n">
        <v>202</v>
      </c>
      <c r="F12" s="4" t="n">
        <v>48</v>
      </c>
      <c r="G12" s="4" t="n">
        <v>9699</v>
      </c>
      <c r="H12" s="4" t="s">
        <v>976</v>
      </c>
      <c r="I12" s="5"/>
      <c r="J12" s="4" t="s">
        <v>338</v>
      </c>
      <c r="K12" s="4" t="s">
        <v>977</v>
      </c>
      <c r="L12" s="4" t="s">
        <v>216</v>
      </c>
      <c r="M12" s="4" t="s">
        <v>979</v>
      </c>
      <c r="N12" s="4"/>
      <c r="O12" s="4" t="s">
        <v>979</v>
      </c>
      <c r="P12" s="4" t="s">
        <v>979</v>
      </c>
    </row>
    <row r="13" customFormat="false" ht="15" hidden="false" customHeight="false" outlineLevel="0" collapsed="false">
      <c r="A13" s="4" t="s">
        <v>607</v>
      </c>
      <c r="B13" s="4" t="n">
        <v>12</v>
      </c>
      <c r="C13" s="4" t="s">
        <v>999</v>
      </c>
      <c r="D13" s="4" t="s">
        <v>981</v>
      </c>
      <c r="E13" s="4" t="n">
        <v>199</v>
      </c>
      <c r="F13" s="4" t="n">
        <v>27</v>
      </c>
      <c r="G13" s="4" t="n">
        <v>5361</v>
      </c>
      <c r="H13" s="4" t="s">
        <v>976</v>
      </c>
      <c r="I13" s="5"/>
      <c r="J13" s="4" t="s">
        <v>338</v>
      </c>
      <c r="K13" s="4" t="s">
        <v>977</v>
      </c>
      <c r="L13" s="4" t="s">
        <v>216</v>
      </c>
      <c r="M13" s="4" t="s">
        <v>979</v>
      </c>
      <c r="N13" s="4"/>
      <c r="O13" s="4" t="s">
        <v>979</v>
      </c>
      <c r="P13" s="4" t="s">
        <v>979</v>
      </c>
    </row>
    <row r="14" customFormat="false" ht="23.85" hidden="false" customHeight="false" outlineLevel="0" collapsed="false">
      <c r="A14" s="4" t="s">
        <v>607</v>
      </c>
      <c r="B14" s="4" t="n">
        <v>13</v>
      </c>
      <c r="C14" s="4" t="s">
        <v>282</v>
      </c>
      <c r="D14" s="4" t="s">
        <v>993</v>
      </c>
      <c r="E14" s="4" t="n">
        <v>183</v>
      </c>
      <c r="F14" s="4" t="n">
        <v>20</v>
      </c>
      <c r="G14" s="4" t="n">
        <v>6650</v>
      </c>
      <c r="H14" s="4" t="s">
        <v>976</v>
      </c>
      <c r="I14" s="5" t="s">
        <v>1000</v>
      </c>
      <c r="J14" s="4" t="s">
        <v>338</v>
      </c>
      <c r="K14" s="4" t="s">
        <v>977</v>
      </c>
      <c r="L14" s="4" t="s">
        <v>216</v>
      </c>
      <c r="M14" s="4" t="s">
        <v>979</v>
      </c>
      <c r="N14" s="4" t="s">
        <v>1001</v>
      </c>
      <c r="O14" s="4" t="s">
        <v>976</v>
      </c>
      <c r="P14" s="4" t="s">
        <v>979</v>
      </c>
    </row>
    <row r="15" customFormat="false" ht="15" hidden="false" customHeight="false" outlineLevel="0" collapsed="false">
      <c r="A15" s="4" t="s">
        <v>607</v>
      </c>
      <c r="B15" s="4" t="n">
        <v>14</v>
      </c>
      <c r="C15" s="4" t="s">
        <v>1002</v>
      </c>
      <c r="D15" s="4" t="s">
        <v>981</v>
      </c>
      <c r="E15" s="4" t="n">
        <v>180</v>
      </c>
      <c r="F15" s="4" t="n">
        <v>24</v>
      </c>
      <c r="G15" s="4" t="n">
        <v>4311</v>
      </c>
      <c r="H15" s="4" t="s">
        <v>976</v>
      </c>
      <c r="I15" s="5"/>
      <c r="J15" s="4" t="s">
        <v>338</v>
      </c>
      <c r="K15" s="4" t="s">
        <v>977</v>
      </c>
      <c r="L15" s="4" t="s">
        <v>216</v>
      </c>
      <c r="M15" s="4" t="s">
        <v>979</v>
      </c>
      <c r="N15" s="4"/>
      <c r="O15" s="4" t="s">
        <v>979</v>
      </c>
      <c r="P15" s="4" t="s">
        <v>979</v>
      </c>
    </row>
    <row r="16" customFormat="false" ht="23.85" hidden="false" customHeight="false" outlineLevel="0" collapsed="false">
      <c r="A16" s="4" t="s">
        <v>607</v>
      </c>
      <c r="B16" s="4" t="n">
        <v>15</v>
      </c>
      <c r="C16" s="4" t="s">
        <v>1003</v>
      </c>
      <c r="D16" s="4" t="s">
        <v>981</v>
      </c>
      <c r="E16" s="4" t="n">
        <v>179</v>
      </c>
      <c r="F16" s="4" t="n">
        <v>23</v>
      </c>
      <c r="G16" s="4" t="n">
        <v>4116</v>
      </c>
      <c r="H16" s="4" t="s">
        <v>979</v>
      </c>
      <c r="I16" s="5" t="s">
        <v>1004</v>
      </c>
      <c r="J16" s="4" t="s">
        <v>338</v>
      </c>
      <c r="K16" s="4" t="s">
        <v>977</v>
      </c>
      <c r="L16" s="4" t="s">
        <v>216</v>
      </c>
      <c r="M16" s="4" t="s">
        <v>979</v>
      </c>
      <c r="N16" s="4"/>
      <c r="O16" s="4" t="s">
        <v>979</v>
      </c>
      <c r="P16" s="4" t="s">
        <v>979</v>
      </c>
    </row>
    <row r="17" customFormat="false" ht="15" hidden="false" customHeight="false" outlineLevel="0" collapsed="false">
      <c r="A17" s="4" t="s">
        <v>640</v>
      </c>
      <c r="B17" s="4" t="n">
        <v>1</v>
      </c>
      <c r="C17" s="4" t="s">
        <v>984</v>
      </c>
      <c r="D17" s="4" t="s">
        <v>985</v>
      </c>
      <c r="E17" s="4" t="n">
        <v>291</v>
      </c>
      <c r="F17" s="4" t="n">
        <v>28</v>
      </c>
      <c r="G17" s="4" t="n">
        <v>8151</v>
      </c>
      <c r="H17" s="4" t="s">
        <v>976</v>
      </c>
      <c r="I17" s="5"/>
      <c r="J17" s="4" t="s">
        <v>1005</v>
      </c>
      <c r="K17" s="4" t="s">
        <v>925</v>
      </c>
      <c r="L17" s="4" t="s">
        <v>611</v>
      </c>
      <c r="M17" s="4" t="s">
        <v>976</v>
      </c>
      <c r="N17" s="4" t="s">
        <v>1006</v>
      </c>
      <c r="O17" s="4" t="s">
        <v>979</v>
      </c>
      <c r="P17" s="4" t="s">
        <v>979</v>
      </c>
    </row>
    <row r="18" customFormat="false" ht="15" hidden="false" customHeight="false" outlineLevel="0" collapsed="false">
      <c r="A18" s="4" t="s">
        <v>640</v>
      </c>
      <c r="B18" s="4" t="n">
        <v>2</v>
      </c>
      <c r="C18" s="4" t="s">
        <v>980</v>
      </c>
      <c r="D18" s="4" t="s">
        <v>981</v>
      </c>
      <c r="E18" s="4" t="n">
        <v>276</v>
      </c>
      <c r="F18" s="4" t="n">
        <v>38</v>
      </c>
      <c r="G18" s="4" t="n">
        <v>10504</v>
      </c>
      <c r="H18" s="4" t="s">
        <v>976</v>
      </c>
      <c r="I18" s="5"/>
      <c r="J18" s="4" t="s">
        <v>1005</v>
      </c>
      <c r="K18" s="4" t="s">
        <v>925</v>
      </c>
      <c r="L18" s="4" t="s">
        <v>611</v>
      </c>
      <c r="M18" s="4" t="s">
        <v>976</v>
      </c>
      <c r="N18" s="4" t="s">
        <v>1006</v>
      </c>
      <c r="O18" s="4" t="s">
        <v>979</v>
      </c>
      <c r="P18" s="4" t="s">
        <v>979</v>
      </c>
    </row>
    <row r="19" customFormat="false" ht="15" hidden="false" customHeight="false" outlineLevel="0" collapsed="false">
      <c r="A19" s="4" t="s">
        <v>640</v>
      </c>
      <c r="B19" s="4" t="n">
        <v>3</v>
      </c>
      <c r="C19" s="4" t="s">
        <v>974</v>
      </c>
      <c r="D19" s="4" t="s">
        <v>975</v>
      </c>
      <c r="E19" s="4" t="n">
        <v>262</v>
      </c>
      <c r="F19" s="4" t="n">
        <v>41</v>
      </c>
      <c r="G19" s="4" t="n">
        <v>10743</v>
      </c>
      <c r="H19" s="4" t="s">
        <v>976</v>
      </c>
      <c r="I19" s="5"/>
      <c r="J19" s="4" t="s">
        <v>1005</v>
      </c>
      <c r="K19" s="4" t="s">
        <v>925</v>
      </c>
      <c r="L19" s="4" t="s">
        <v>611</v>
      </c>
      <c r="M19" s="4" t="s">
        <v>976</v>
      </c>
      <c r="N19" s="4" t="s">
        <v>1006</v>
      </c>
      <c r="O19" s="4" t="s">
        <v>979</v>
      </c>
      <c r="P19" s="4" t="s">
        <v>979</v>
      </c>
    </row>
    <row r="20" customFormat="false" ht="15" hidden="false" customHeight="false" outlineLevel="0" collapsed="false">
      <c r="A20" s="4" t="s">
        <v>640</v>
      </c>
      <c r="B20" s="4" t="n">
        <v>4</v>
      </c>
      <c r="C20" s="4" t="s">
        <v>987</v>
      </c>
      <c r="D20" s="4" t="s">
        <v>985</v>
      </c>
      <c r="E20" s="4" t="n">
        <v>249</v>
      </c>
      <c r="F20" s="4" t="n">
        <v>32</v>
      </c>
      <c r="G20" s="4" t="n">
        <v>7966</v>
      </c>
      <c r="H20" s="4" t="s">
        <v>976</v>
      </c>
      <c r="I20" s="5"/>
      <c r="J20" s="4" t="s">
        <v>1005</v>
      </c>
      <c r="K20" s="4" t="s">
        <v>925</v>
      </c>
      <c r="L20" s="4" t="s">
        <v>611</v>
      </c>
      <c r="M20" s="4" t="s">
        <v>979</v>
      </c>
      <c r="N20" s="4" t="s">
        <v>1007</v>
      </c>
      <c r="O20" s="4" t="s">
        <v>976</v>
      </c>
      <c r="P20" s="4" t="s">
        <v>979</v>
      </c>
    </row>
    <row r="21" customFormat="false" ht="15" hidden="false" customHeight="false" outlineLevel="0" collapsed="false">
      <c r="A21" s="4" t="s">
        <v>640</v>
      </c>
      <c r="B21" s="4" t="n">
        <v>5</v>
      </c>
      <c r="C21" s="4" t="s">
        <v>988</v>
      </c>
      <c r="D21" s="4" t="s">
        <v>989</v>
      </c>
      <c r="E21" s="4" t="n">
        <v>245</v>
      </c>
      <c r="F21" s="4" t="n">
        <v>38</v>
      </c>
      <c r="G21" s="4" t="n">
        <v>9310</v>
      </c>
      <c r="H21" s="4" t="s">
        <v>976</v>
      </c>
      <c r="I21" s="5"/>
      <c r="J21" s="4" t="s">
        <v>1005</v>
      </c>
      <c r="K21" s="4" t="s">
        <v>925</v>
      </c>
      <c r="L21" s="4" t="s">
        <v>611</v>
      </c>
      <c r="M21" s="4" t="s">
        <v>976</v>
      </c>
      <c r="N21" s="4" t="s">
        <v>1006</v>
      </c>
      <c r="O21" s="4" t="s">
        <v>979</v>
      </c>
      <c r="P21" s="4" t="s">
        <v>979</v>
      </c>
    </row>
    <row r="22" customFormat="false" ht="15" hidden="false" customHeight="false" outlineLevel="0" collapsed="false">
      <c r="A22" s="4" t="s">
        <v>640</v>
      </c>
      <c r="B22" s="4" t="n">
        <v>6</v>
      </c>
      <c r="C22" s="4" t="s">
        <v>996</v>
      </c>
      <c r="D22" s="4" t="s">
        <v>975</v>
      </c>
      <c r="E22" s="4" t="n">
        <v>238</v>
      </c>
      <c r="F22" s="4" t="n">
        <v>35</v>
      </c>
      <c r="G22" s="4" t="n">
        <v>8344</v>
      </c>
      <c r="H22" s="4" t="s">
        <v>976</v>
      </c>
      <c r="I22" s="5"/>
      <c r="J22" s="4" t="s">
        <v>1005</v>
      </c>
      <c r="K22" s="4" t="s">
        <v>925</v>
      </c>
      <c r="L22" s="4" t="s">
        <v>611</v>
      </c>
      <c r="M22" s="4" t="s">
        <v>979</v>
      </c>
      <c r="N22" s="4"/>
      <c r="O22" s="4" t="s">
        <v>979</v>
      </c>
      <c r="P22" s="4" t="s">
        <v>979</v>
      </c>
    </row>
    <row r="23" customFormat="false" ht="46.25" hidden="false" customHeight="false" outlineLevel="0" collapsed="false">
      <c r="A23" s="4" t="s">
        <v>640</v>
      </c>
      <c r="B23" s="4" t="n">
        <v>7</v>
      </c>
      <c r="C23" s="4" t="s">
        <v>992</v>
      </c>
      <c r="D23" s="4" t="s">
        <v>993</v>
      </c>
      <c r="E23" s="4" t="n">
        <v>237</v>
      </c>
      <c r="F23" s="4" t="n">
        <v>33</v>
      </c>
      <c r="G23" s="4" t="n">
        <v>7829</v>
      </c>
      <c r="H23" s="4" t="s">
        <v>979</v>
      </c>
      <c r="I23" s="5" t="s">
        <v>1008</v>
      </c>
      <c r="J23" s="4" t="s">
        <v>1005</v>
      </c>
      <c r="K23" s="4" t="s">
        <v>925</v>
      </c>
      <c r="L23" s="4" t="s">
        <v>611</v>
      </c>
      <c r="M23" s="4" t="s">
        <v>979</v>
      </c>
      <c r="N23" s="4"/>
      <c r="O23" s="4" t="s">
        <v>979</v>
      </c>
      <c r="P23" s="4" t="s">
        <v>976</v>
      </c>
    </row>
    <row r="24" customFormat="false" ht="15" hidden="false" customHeight="false" outlineLevel="0" collapsed="false">
      <c r="A24" s="4" t="s">
        <v>640</v>
      </c>
      <c r="B24" s="4" t="n">
        <v>8</v>
      </c>
      <c r="C24" s="4" t="s">
        <v>991</v>
      </c>
      <c r="D24" s="4" t="s">
        <v>975</v>
      </c>
      <c r="E24" s="4" t="n">
        <v>210</v>
      </c>
      <c r="F24" s="4" t="n">
        <v>32</v>
      </c>
      <c r="G24" s="4" t="n">
        <v>6712</v>
      </c>
      <c r="H24" s="4" t="s">
        <v>976</v>
      </c>
      <c r="I24" s="5"/>
      <c r="J24" s="4" t="s">
        <v>1005</v>
      </c>
      <c r="K24" s="4" t="s">
        <v>925</v>
      </c>
      <c r="L24" s="4" t="s">
        <v>611</v>
      </c>
      <c r="M24" s="4" t="s">
        <v>979</v>
      </c>
      <c r="N24" s="4"/>
      <c r="O24" s="4" t="s">
        <v>979</v>
      </c>
      <c r="P24" s="4" t="s">
        <v>979</v>
      </c>
    </row>
    <row r="25" customFormat="false" ht="15" hidden="false" customHeight="false" outlineLevel="0" collapsed="false">
      <c r="A25" s="4" t="s">
        <v>640</v>
      </c>
      <c r="B25" s="4" t="n">
        <v>9</v>
      </c>
      <c r="C25" s="4" t="s">
        <v>999</v>
      </c>
      <c r="D25" s="4" t="s">
        <v>981</v>
      </c>
      <c r="E25" s="4" t="n">
        <v>203</v>
      </c>
      <c r="F25" s="4" t="n">
        <v>42</v>
      </c>
      <c r="G25" s="4" t="n">
        <v>8520</v>
      </c>
      <c r="H25" s="4" t="s">
        <v>976</v>
      </c>
      <c r="I25" s="5"/>
      <c r="J25" s="4" t="s">
        <v>1005</v>
      </c>
      <c r="K25" s="4" t="s">
        <v>925</v>
      </c>
      <c r="L25" s="4" t="s">
        <v>611</v>
      </c>
      <c r="M25" s="4" t="s">
        <v>979</v>
      </c>
      <c r="N25" s="4"/>
      <c r="O25" s="4" t="s">
        <v>979</v>
      </c>
      <c r="P25" s="4" t="s">
        <v>979</v>
      </c>
    </row>
    <row r="26" customFormat="false" ht="15" hidden="false" customHeight="false" outlineLevel="0" collapsed="false">
      <c r="A26" s="4" t="s">
        <v>640</v>
      </c>
      <c r="B26" s="4" t="n">
        <v>10</v>
      </c>
      <c r="C26" s="4" t="s">
        <v>995</v>
      </c>
      <c r="D26" s="4" t="s">
        <v>975</v>
      </c>
      <c r="E26" s="4" t="n">
        <v>196</v>
      </c>
      <c r="F26" s="4" t="n">
        <v>37</v>
      </c>
      <c r="G26" s="4" t="n">
        <v>7240</v>
      </c>
      <c r="H26" s="4" t="s">
        <v>976</v>
      </c>
      <c r="I26" s="5"/>
      <c r="J26" s="4" t="s">
        <v>1005</v>
      </c>
      <c r="K26" s="4" t="s">
        <v>925</v>
      </c>
      <c r="L26" s="4" t="s">
        <v>611</v>
      </c>
      <c r="M26" s="4" t="s">
        <v>979</v>
      </c>
      <c r="N26" s="4"/>
      <c r="O26" s="4" t="s">
        <v>979</v>
      </c>
      <c r="P26" s="4" t="s">
        <v>979</v>
      </c>
    </row>
    <row r="27" customFormat="false" ht="35.05" hidden="false" customHeight="false" outlineLevel="0" collapsed="false">
      <c r="A27" s="4" t="s">
        <v>640</v>
      </c>
      <c r="B27" s="4" t="n">
        <v>11</v>
      </c>
      <c r="C27" s="4" t="s">
        <v>1003</v>
      </c>
      <c r="D27" s="4" t="s">
        <v>981</v>
      </c>
      <c r="E27" s="4" t="n">
        <v>168</v>
      </c>
      <c r="F27" s="4" t="n">
        <v>38</v>
      </c>
      <c r="G27" s="4" t="n">
        <v>6373</v>
      </c>
      <c r="H27" s="4" t="s">
        <v>979</v>
      </c>
      <c r="I27" s="5" t="s">
        <v>1009</v>
      </c>
      <c r="J27" s="4" t="s">
        <v>1005</v>
      </c>
      <c r="K27" s="4" t="s">
        <v>925</v>
      </c>
      <c r="L27" s="4" t="s">
        <v>611</v>
      </c>
      <c r="M27" s="4" t="s">
        <v>979</v>
      </c>
      <c r="N27" s="4"/>
      <c r="O27" s="4" t="s">
        <v>979</v>
      </c>
      <c r="P27" s="4" t="s">
        <v>979</v>
      </c>
    </row>
    <row r="28" customFormat="false" ht="15" hidden="false" customHeight="false" outlineLevel="0" collapsed="false">
      <c r="A28" s="4" t="s">
        <v>640</v>
      </c>
      <c r="B28" s="4" t="n">
        <v>12</v>
      </c>
      <c r="C28" s="4" t="s">
        <v>1010</v>
      </c>
      <c r="D28" s="4" t="s">
        <v>975</v>
      </c>
      <c r="E28" s="4" t="n">
        <v>154</v>
      </c>
      <c r="F28" s="4" t="n">
        <v>59</v>
      </c>
      <c r="G28" s="4" t="n">
        <v>9082</v>
      </c>
      <c r="H28" s="4" t="s">
        <v>976</v>
      </c>
      <c r="I28" s="5"/>
      <c r="J28" s="4" t="s">
        <v>1005</v>
      </c>
      <c r="K28" s="4" t="s">
        <v>925</v>
      </c>
      <c r="L28" s="4" t="s">
        <v>611</v>
      </c>
      <c r="M28" s="4" t="s">
        <v>979</v>
      </c>
      <c r="N28" s="4"/>
      <c r="O28" s="4" t="s">
        <v>979</v>
      </c>
      <c r="P28" s="4" t="s">
        <v>979</v>
      </c>
    </row>
    <row r="29" customFormat="false" ht="15" hidden="false" customHeight="false" outlineLevel="0" collapsed="false">
      <c r="A29" s="4" t="s">
        <v>640</v>
      </c>
      <c r="B29" s="4" t="n">
        <v>13</v>
      </c>
      <c r="C29" s="4" t="s">
        <v>1011</v>
      </c>
      <c r="D29" s="4" t="s">
        <v>985</v>
      </c>
      <c r="E29" s="4" t="n">
        <v>141</v>
      </c>
      <c r="F29" s="4" t="n">
        <v>30</v>
      </c>
      <c r="G29" s="4" t="n">
        <v>4235</v>
      </c>
      <c r="H29" s="4" t="s">
        <v>976</v>
      </c>
      <c r="I29" s="5"/>
      <c r="J29" s="4" t="s">
        <v>1005</v>
      </c>
      <c r="K29" s="4" t="s">
        <v>925</v>
      </c>
      <c r="L29" s="4" t="s">
        <v>611</v>
      </c>
      <c r="M29" s="4" t="s">
        <v>979</v>
      </c>
      <c r="N29" s="4"/>
      <c r="O29" s="4" t="s">
        <v>979</v>
      </c>
      <c r="P29" s="4" t="s">
        <v>979</v>
      </c>
    </row>
    <row r="30" customFormat="false" ht="15" hidden="false" customHeight="false" outlineLevel="0" collapsed="false">
      <c r="A30" s="4" t="s">
        <v>640</v>
      </c>
      <c r="B30" s="4" t="n">
        <v>14</v>
      </c>
      <c r="C30" s="4" t="s">
        <v>1002</v>
      </c>
      <c r="D30" s="4" t="s">
        <v>981</v>
      </c>
      <c r="E30" s="4" t="n">
        <v>140</v>
      </c>
      <c r="F30" s="4" t="n">
        <v>49</v>
      </c>
      <c r="G30" s="4" t="n">
        <v>6855</v>
      </c>
      <c r="H30" s="4" t="s">
        <v>976</v>
      </c>
      <c r="I30" s="5"/>
      <c r="J30" s="4" t="s">
        <v>1005</v>
      </c>
      <c r="K30" s="4" t="s">
        <v>925</v>
      </c>
      <c r="L30" s="4" t="s">
        <v>611</v>
      </c>
      <c r="M30" s="4" t="s">
        <v>979</v>
      </c>
      <c r="N30" s="4"/>
      <c r="O30" s="4" t="s">
        <v>979</v>
      </c>
      <c r="P30" s="4" t="s">
        <v>979</v>
      </c>
    </row>
    <row r="31" customFormat="false" ht="15" hidden="false" customHeight="false" outlineLevel="0" collapsed="false">
      <c r="A31" s="4" t="s">
        <v>640</v>
      </c>
      <c r="B31" s="4" t="n">
        <v>15</v>
      </c>
      <c r="C31" s="4" t="s">
        <v>1012</v>
      </c>
      <c r="D31" s="4" t="s">
        <v>975</v>
      </c>
      <c r="E31" s="4" t="n">
        <v>137</v>
      </c>
      <c r="F31" s="4" t="n">
        <v>46</v>
      </c>
      <c r="G31" s="4" t="n">
        <v>6303</v>
      </c>
      <c r="H31" s="4" t="s">
        <v>976</v>
      </c>
      <c r="I31" s="5"/>
      <c r="J31" s="4" t="s">
        <v>1005</v>
      </c>
      <c r="K31" s="4" t="s">
        <v>925</v>
      </c>
      <c r="L31" s="4" t="s">
        <v>611</v>
      </c>
      <c r="M31" s="4" t="s">
        <v>979</v>
      </c>
      <c r="N31" s="4"/>
      <c r="O31" s="4" t="s">
        <v>979</v>
      </c>
      <c r="P31" s="4" t="s">
        <v>979</v>
      </c>
    </row>
    <row r="32" customFormat="false" ht="15" hidden="false" customHeight="false" outlineLevel="0" collapsed="false">
      <c r="A32" s="4" t="s">
        <v>640</v>
      </c>
      <c r="B32" s="4" t="n">
        <v>16</v>
      </c>
      <c r="C32" s="4" t="s">
        <v>998</v>
      </c>
      <c r="D32" s="4" t="s">
        <v>989</v>
      </c>
      <c r="E32" s="4" t="n">
        <v>122</v>
      </c>
      <c r="F32" s="4" t="n">
        <v>35</v>
      </c>
      <c r="G32" s="4" t="n">
        <v>4285</v>
      </c>
      <c r="H32" s="4" t="s">
        <v>976</v>
      </c>
      <c r="I32" s="5"/>
      <c r="J32" s="4" t="s">
        <v>1005</v>
      </c>
      <c r="K32" s="4" t="s">
        <v>925</v>
      </c>
      <c r="L32" s="4" t="s">
        <v>611</v>
      </c>
      <c r="M32" s="4" t="s">
        <v>979</v>
      </c>
      <c r="N32" s="4"/>
      <c r="O32" s="4" t="s">
        <v>979</v>
      </c>
      <c r="P32" s="4" t="s">
        <v>979</v>
      </c>
    </row>
    <row r="33" customFormat="false" ht="15" hidden="false" customHeight="false" outlineLevel="0" collapsed="false">
      <c r="A33" s="4" t="s">
        <v>640</v>
      </c>
      <c r="B33" s="4" t="n">
        <v>17</v>
      </c>
      <c r="C33" s="4" t="s">
        <v>1013</v>
      </c>
      <c r="D33" s="4" t="s">
        <v>989</v>
      </c>
      <c r="E33" s="4" t="n">
        <v>112</v>
      </c>
      <c r="F33" s="4" t="n">
        <v>54</v>
      </c>
      <c r="G33" s="4" t="n">
        <v>6056</v>
      </c>
      <c r="H33" s="4" t="s">
        <v>976</v>
      </c>
      <c r="I33" s="5"/>
      <c r="J33" s="4" t="s">
        <v>1005</v>
      </c>
      <c r="K33" s="4" t="s">
        <v>925</v>
      </c>
      <c r="L33" s="4" t="s">
        <v>611</v>
      </c>
      <c r="M33" s="4" t="s">
        <v>979</v>
      </c>
      <c r="N33" s="4"/>
      <c r="O33" s="4" t="s">
        <v>979</v>
      </c>
      <c r="P33" s="4" t="s">
        <v>979</v>
      </c>
    </row>
    <row r="34" customFormat="false" ht="15" hidden="false" customHeight="false" outlineLevel="0" collapsed="false">
      <c r="A34" s="4" t="s">
        <v>640</v>
      </c>
      <c r="B34" s="4" t="n">
        <v>18</v>
      </c>
      <c r="C34" s="4" t="s">
        <v>1014</v>
      </c>
      <c r="D34" s="4" t="s">
        <v>989</v>
      </c>
      <c r="E34" s="4" t="n">
        <v>110</v>
      </c>
      <c r="F34" s="4" t="n">
        <v>46</v>
      </c>
      <c r="G34" s="4" t="n">
        <v>5043</v>
      </c>
      <c r="H34" s="4" t="s">
        <v>976</v>
      </c>
      <c r="I34" s="5"/>
      <c r="J34" s="4" t="s">
        <v>1005</v>
      </c>
      <c r="K34" s="4" t="s">
        <v>925</v>
      </c>
      <c r="L34" s="4" t="s">
        <v>611</v>
      </c>
      <c r="M34" s="4" t="s">
        <v>979</v>
      </c>
      <c r="N34" s="4"/>
      <c r="O34" s="4" t="s">
        <v>979</v>
      </c>
      <c r="P34" s="4" t="s">
        <v>979</v>
      </c>
    </row>
    <row r="35" customFormat="false" ht="35.05" hidden="false" customHeight="false" outlineLevel="0" collapsed="false">
      <c r="A35" s="4" t="s">
        <v>640</v>
      </c>
      <c r="B35" s="4" t="n">
        <v>19</v>
      </c>
      <c r="C35" s="4" t="s">
        <v>1015</v>
      </c>
      <c r="D35" s="4" t="s">
        <v>993</v>
      </c>
      <c r="E35" s="4" t="n">
        <v>98</v>
      </c>
      <c r="F35" s="4" t="n">
        <v>28</v>
      </c>
      <c r="G35" s="4" t="n">
        <v>2741</v>
      </c>
      <c r="H35" s="4" t="s">
        <v>976</v>
      </c>
      <c r="I35" s="5" t="s">
        <v>1016</v>
      </c>
      <c r="J35" s="4" t="s">
        <v>1005</v>
      </c>
      <c r="K35" s="4" t="s">
        <v>925</v>
      </c>
      <c r="L35" s="4" t="s">
        <v>611</v>
      </c>
      <c r="M35" s="4" t="s">
        <v>979</v>
      </c>
      <c r="N35" s="4"/>
      <c r="O35" s="4" t="s">
        <v>979</v>
      </c>
      <c r="P35" s="4" t="s">
        <v>979</v>
      </c>
    </row>
    <row r="36" customFormat="false" ht="15" hidden="false" customHeight="false" outlineLevel="0" collapsed="false">
      <c r="A36" s="4" t="s">
        <v>640</v>
      </c>
      <c r="B36" s="4" t="n">
        <v>20</v>
      </c>
      <c r="C36" s="4" t="s">
        <v>1017</v>
      </c>
      <c r="D36" s="4" t="s">
        <v>989</v>
      </c>
      <c r="E36" s="4" t="n">
        <v>95</v>
      </c>
      <c r="F36" s="4" t="n">
        <v>38</v>
      </c>
      <c r="G36" s="4" t="n">
        <v>3607</v>
      </c>
      <c r="H36" s="4" t="s">
        <v>976</v>
      </c>
      <c r="I36" s="5"/>
      <c r="J36" s="4" t="s">
        <v>1005</v>
      </c>
      <c r="K36" s="4" t="s">
        <v>925</v>
      </c>
      <c r="L36" s="4" t="s">
        <v>611</v>
      </c>
      <c r="M36" s="4" t="s">
        <v>979</v>
      </c>
      <c r="N36" s="4"/>
      <c r="O36" s="4" t="s">
        <v>979</v>
      </c>
      <c r="P36" s="4" t="s">
        <v>979</v>
      </c>
    </row>
    <row r="37" customFormat="false" ht="15" hidden="false" customHeight="false" outlineLevel="0" collapsed="false">
      <c r="A37" s="4" t="s">
        <v>640</v>
      </c>
      <c r="B37" s="4" t="n">
        <v>21</v>
      </c>
      <c r="C37" s="4" t="s">
        <v>1018</v>
      </c>
      <c r="D37" s="4" t="s">
        <v>975</v>
      </c>
      <c r="E37" s="4" t="n">
        <v>94</v>
      </c>
      <c r="F37" s="4" t="n">
        <v>36</v>
      </c>
      <c r="G37" s="4" t="n">
        <v>3370</v>
      </c>
      <c r="H37" s="4" t="s">
        <v>976</v>
      </c>
      <c r="I37" s="5"/>
      <c r="J37" s="4" t="s">
        <v>1005</v>
      </c>
      <c r="K37" s="4" t="s">
        <v>925</v>
      </c>
      <c r="L37" s="4" t="s">
        <v>611</v>
      </c>
      <c r="M37" s="4" t="s">
        <v>979</v>
      </c>
      <c r="N37" s="4"/>
      <c r="O37" s="4" t="s">
        <v>979</v>
      </c>
      <c r="P37" s="4" t="s">
        <v>979</v>
      </c>
    </row>
    <row r="38" customFormat="false" ht="15" hidden="false" customHeight="false" outlineLevel="0" collapsed="false">
      <c r="A38" s="4" t="s">
        <v>640</v>
      </c>
      <c r="B38" s="4" t="n">
        <v>22</v>
      </c>
      <c r="C38" s="4" t="s">
        <v>1019</v>
      </c>
      <c r="D38" s="4" t="s">
        <v>975</v>
      </c>
      <c r="E38" s="4" t="n">
        <v>92</v>
      </c>
      <c r="F38" s="4" t="n">
        <v>51</v>
      </c>
      <c r="G38" s="4" t="n">
        <v>4673</v>
      </c>
      <c r="H38" s="4" t="s">
        <v>976</v>
      </c>
      <c r="I38" s="5"/>
      <c r="J38" s="4" t="s">
        <v>1005</v>
      </c>
      <c r="K38" s="4" t="s">
        <v>925</v>
      </c>
      <c r="L38" s="4" t="s">
        <v>611</v>
      </c>
      <c r="M38" s="4" t="s">
        <v>979</v>
      </c>
      <c r="N38" s="4"/>
      <c r="O38" s="4" t="s">
        <v>979</v>
      </c>
      <c r="P38" s="4" t="s">
        <v>979</v>
      </c>
    </row>
    <row r="39" customFormat="false" ht="15" hidden="false" customHeight="false" outlineLevel="0" collapsed="false">
      <c r="A39" s="4" t="s">
        <v>640</v>
      </c>
      <c r="B39" s="4" t="n">
        <v>23</v>
      </c>
      <c r="C39" s="4" t="s">
        <v>1020</v>
      </c>
      <c r="D39" s="4" t="s">
        <v>975</v>
      </c>
      <c r="E39" s="4" t="n">
        <v>90</v>
      </c>
      <c r="F39" s="4" t="n">
        <v>60</v>
      </c>
      <c r="G39" s="4" t="n">
        <v>5394</v>
      </c>
      <c r="H39" s="4" t="s">
        <v>976</v>
      </c>
      <c r="I39" s="5"/>
      <c r="J39" s="4" t="s">
        <v>1005</v>
      </c>
      <c r="K39" s="4" t="s">
        <v>925</v>
      </c>
      <c r="L39" s="4" t="s">
        <v>611</v>
      </c>
      <c r="M39" s="4" t="s">
        <v>979</v>
      </c>
      <c r="N39" s="4"/>
      <c r="O39" s="4" t="s">
        <v>979</v>
      </c>
      <c r="P39" s="4" t="s">
        <v>979</v>
      </c>
    </row>
    <row r="40" customFormat="false" ht="15" hidden="false" customHeight="false" outlineLevel="0" collapsed="false">
      <c r="A40" s="4" t="s">
        <v>640</v>
      </c>
      <c r="B40" s="4" t="n">
        <v>24</v>
      </c>
      <c r="C40" s="4" t="s">
        <v>1021</v>
      </c>
      <c r="D40" s="4" t="s">
        <v>989</v>
      </c>
      <c r="E40" s="4" t="n">
        <v>86</v>
      </c>
      <c r="F40" s="4" t="n">
        <v>58</v>
      </c>
      <c r="G40" s="4" t="n">
        <v>4980</v>
      </c>
      <c r="H40" s="4" t="s">
        <v>976</v>
      </c>
      <c r="I40" s="5"/>
      <c r="J40" s="4" t="s">
        <v>1005</v>
      </c>
      <c r="K40" s="4" t="s">
        <v>925</v>
      </c>
      <c r="L40" s="4" t="s">
        <v>611</v>
      </c>
      <c r="M40" s="4" t="s">
        <v>979</v>
      </c>
      <c r="N40" s="4"/>
      <c r="O40" s="4" t="s">
        <v>979</v>
      </c>
      <c r="P40" s="4" t="s">
        <v>979</v>
      </c>
    </row>
    <row r="41" customFormat="false" ht="15" hidden="false" customHeight="false" outlineLevel="0" collapsed="false">
      <c r="A41" s="4" t="s">
        <v>640</v>
      </c>
      <c r="B41" s="4" t="n">
        <v>25</v>
      </c>
      <c r="C41" s="4" t="s">
        <v>1022</v>
      </c>
      <c r="D41" s="4" t="s">
        <v>981</v>
      </c>
      <c r="E41" s="4" t="n">
        <v>84</v>
      </c>
      <c r="F41" s="4" t="n">
        <v>31</v>
      </c>
      <c r="G41" s="4" t="n">
        <v>2603</v>
      </c>
      <c r="H41" s="4" t="s">
        <v>976</v>
      </c>
      <c r="I41" s="5"/>
      <c r="J41" s="4" t="s">
        <v>1005</v>
      </c>
      <c r="K41" s="4" t="s">
        <v>925</v>
      </c>
      <c r="L41" s="4" t="s">
        <v>611</v>
      </c>
      <c r="M41" s="4" t="s">
        <v>979</v>
      </c>
      <c r="N41" s="4"/>
      <c r="O41" s="4" t="s">
        <v>979</v>
      </c>
      <c r="P41" s="4" t="s">
        <v>979</v>
      </c>
    </row>
    <row r="42" customFormat="false" ht="15" hidden="false" customHeight="false" outlineLevel="0" collapsed="false">
      <c r="A42" s="4" t="s">
        <v>640</v>
      </c>
      <c r="B42" s="4" t="n">
        <v>26</v>
      </c>
      <c r="C42" s="4" t="s">
        <v>1023</v>
      </c>
      <c r="D42" s="4" t="s">
        <v>989</v>
      </c>
      <c r="E42" s="4" t="n">
        <v>75</v>
      </c>
      <c r="F42" s="4" t="n">
        <v>36</v>
      </c>
      <c r="G42" s="4" t="n">
        <v>2689</v>
      </c>
      <c r="H42" s="4" t="s">
        <v>976</v>
      </c>
      <c r="I42" s="5"/>
      <c r="J42" s="4" t="s">
        <v>1005</v>
      </c>
      <c r="K42" s="4" t="s">
        <v>925</v>
      </c>
      <c r="L42" s="4" t="s">
        <v>611</v>
      </c>
      <c r="M42" s="4" t="s">
        <v>979</v>
      </c>
      <c r="N42" s="4"/>
      <c r="O42" s="4" t="s">
        <v>979</v>
      </c>
      <c r="P42" s="4" t="s">
        <v>979</v>
      </c>
    </row>
    <row r="43" customFormat="false" ht="15" hidden="false" customHeight="false" outlineLevel="0" collapsed="false">
      <c r="A43" s="4" t="s">
        <v>640</v>
      </c>
      <c r="B43" s="4" t="n">
        <v>27</v>
      </c>
      <c r="C43" s="4" t="s">
        <v>1024</v>
      </c>
      <c r="D43" s="4" t="s">
        <v>993</v>
      </c>
      <c r="E43" s="4" t="n">
        <v>71</v>
      </c>
      <c r="F43" s="4" t="n">
        <v>41</v>
      </c>
      <c r="G43" s="4" t="n">
        <v>2909</v>
      </c>
      <c r="H43" s="4" t="s">
        <v>976</v>
      </c>
      <c r="I43" s="5"/>
      <c r="J43" s="4" t="s">
        <v>1005</v>
      </c>
      <c r="K43" s="4" t="s">
        <v>925</v>
      </c>
      <c r="L43" s="4" t="s">
        <v>611</v>
      </c>
      <c r="M43" s="4" t="s">
        <v>979</v>
      </c>
      <c r="N43" s="4"/>
      <c r="O43" s="4" t="s">
        <v>979</v>
      </c>
      <c r="P43" s="4" t="s">
        <v>979</v>
      </c>
    </row>
    <row r="44" customFormat="false" ht="15" hidden="false" customHeight="false" outlineLevel="0" collapsed="false">
      <c r="A44" s="4" t="s">
        <v>640</v>
      </c>
      <c r="B44" s="4" t="n">
        <v>28</v>
      </c>
      <c r="C44" s="4" t="s">
        <v>1025</v>
      </c>
      <c r="D44" s="4" t="s">
        <v>981</v>
      </c>
      <c r="E44" s="4" t="n">
        <v>68</v>
      </c>
      <c r="F44" s="4" t="n">
        <v>30</v>
      </c>
      <c r="G44" s="4" t="n">
        <v>2053</v>
      </c>
      <c r="H44" s="4" t="s">
        <v>976</v>
      </c>
      <c r="I44" s="5"/>
      <c r="J44" s="4" t="s">
        <v>1005</v>
      </c>
      <c r="K44" s="4" t="s">
        <v>925</v>
      </c>
      <c r="L44" s="4" t="s">
        <v>611</v>
      </c>
      <c r="M44" s="4" t="s">
        <v>979</v>
      </c>
      <c r="N44" s="4"/>
      <c r="O44" s="4" t="s">
        <v>979</v>
      </c>
      <c r="P44" s="4" t="s">
        <v>979</v>
      </c>
    </row>
    <row r="45" customFormat="false" ht="15" hidden="false" customHeight="false" outlineLevel="0" collapsed="false">
      <c r="A45" s="4" t="s">
        <v>640</v>
      </c>
      <c r="B45" s="4" t="n">
        <v>29</v>
      </c>
      <c r="C45" s="4" t="s">
        <v>1026</v>
      </c>
      <c r="D45" s="4" t="s">
        <v>975</v>
      </c>
      <c r="E45" s="4" t="n">
        <v>68</v>
      </c>
      <c r="F45" s="4" t="n">
        <v>51</v>
      </c>
      <c r="G45" s="4" t="n">
        <v>3458</v>
      </c>
      <c r="H45" s="4" t="s">
        <v>976</v>
      </c>
      <c r="I45" s="5"/>
      <c r="J45" s="4" t="s">
        <v>1005</v>
      </c>
      <c r="K45" s="4" t="s">
        <v>925</v>
      </c>
      <c r="L45" s="4" t="s">
        <v>611</v>
      </c>
      <c r="M45" s="4" t="s">
        <v>979</v>
      </c>
      <c r="N45" s="4"/>
      <c r="O45" s="4" t="s">
        <v>979</v>
      </c>
      <c r="P45" s="4" t="s">
        <v>979</v>
      </c>
    </row>
    <row r="46" customFormat="false" ht="15" hidden="false" customHeight="false" outlineLevel="0" collapsed="false">
      <c r="A46" s="4" t="s">
        <v>640</v>
      </c>
      <c r="B46" s="4" t="n">
        <v>30</v>
      </c>
      <c r="C46" s="4" t="s">
        <v>1027</v>
      </c>
      <c r="D46" s="4" t="s">
        <v>985</v>
      </c>
      <c r="E46" s="4" t="n">
        <v>65</v>
      </c>
      <c r="F46" s="4" t="n">
        <v>27</v>
      </c>
      <c r="G46" s="4" t="n">
        <v>1762</v>
      </c>
      <c r="H46" s="4" t="s">
        <v>976</v>
      </c>
      <c r="I46" s="5"/>
      <c r="J46" s="4" t="s">
        <v>1005</v>
      </c>
      <c r="K46" s="4" t="s">
        <v>925</v>
      </c>
      <c r="L46" s="4" t="s">
        <v>611</v>
      </c>
      <c r="M46" s="4" t="s">
        <v>979</v>
      </c>
      <c r="N46" s="4"/>
      <c r="O46" s="4" t="s">
        <v>979</v>
      </c>
      <c r="P46" s="4" t="s">
        <v>979</v>
      </c>
    </row>
    <row r="47" customFormat="false" ht="15" hidden="false" customHeight="false" outlineLevel="0" collapsed="false">
      <c r="A47" s="4" t="s">
        <v>640</v>
      </c>
      <c r="B47" s="4" t="n">
        <v>31</v>
      </c>
      <c r="C47" s="4" t="s">
        <v>1028</v>
      </c>
      <c r="D47" s="4" t="s">
        <v>989</v>
      </c>
      <c r="E47" s="4" t="n">
        <v>64</v>
      </c>
      <c r="F47" s="4" t="n">
        <v>24</v>
      </c>
      <c r="G47" s="4" t="n">
        <v>1534</v>
      </c>
      <c r="H47" s="4" t="s">
        <v>976</v>
      </c>
      <c r="I47" s="5"/>
      <c r="J47" s="4" t="s">
        <v>1005</v>
      </c>
      <c r="K47" s="4" t="s">
        <v>925</v>
      </c>
      <c r="L47" s="4" t="s">
        <v>611</v>
      </c>
      <c r="M47" s="4" t="s">
        <v>979</v>
      </c>
      <c r="N47" s="4"/>
      <c r="O47" s="4" t="s">
        <v>979</v>
      </c>
      <c r="P47" s="4" t="s">
        <v>979</v>
      </c>
    </row>
    <row r="48" customFormat="false" ht="15" hidden="false" customHeight="false" outlineLevel="0" collapsed="false">
      <c r="A48" s="4" t="s">
        <v>640</v>
      </c>
      <c r="B48" s="4" t="n">
        <v>32</v>
      </c>
      <c r="C48" s="4" t="s">
        <v>1029</v>
      </c>
      <c r="D48" s="4" t="s">
        <v>981</v>
      </c>
      <c r="E48" s="4" t="n">
        <v>61</v>
      </c>
      <c r="F48" s="4" t="n">
        <v>27</v>
      </c>
      <c r="G48" s="4" t="n">
        <v>1639</v>
      </c>
      <c r="H48" s="4" t="s">
        <v>979</v>
      </c>
      <c r="I48" s="5" t="s">
        <v>1030</v>
      </c>
      <c r="J48" s="4" t="s">
        <v>1005</v>
      </c>
      <c r="K48" s="4" t="s">
        <v>925</v>
      </c>
      <c r="L48" s="4" t="s">
        <v>611</v>
      </c>
      <c r="M48" s="4" t="s">
        <v>979</v>
      </c>
      <c r="N48" s="4"/>
      <c r="O48" s="4" t="s">
        <v>979</v>
      </c>
      <c r="P48" s="4" t="s">
        <v>979</v>
      </c>
    </row>
    <row r="49" customFormat="false" ht="15" hidden="false" customHeight="false" outlineLevel="0" collapsed="false">
      <c r="A49" s="4" t="s">
        <v>640</v>
      </c>
      <c r="B49" s="4" t="n">
        <v>33</v>
      </c>
      <c r="C49" s="4" t="s">
        <v>1031</v>
      </c>
      <c r="D49" s="4"/>
      <c r="E49" s="4" t="n">
        <v>55</v>
      </c>
      <c r="F49" s="4" t="n">
        <v>14</v>
      </c>
      <c r="G49" s="4" t="n">
        <v>773</v>
      </c>
      <c r="H49" s="4" t="s">
        <v>976</v>
      </c>
      <c r="I49" s="5"/>
      <c r="J49" s="4" t="s">
        <v>1005</v>
      </c>
      <c r="K49" s="4" t="s">
        <v>925</v>
      </c>
      <c r="L49" s="4" t="s">
        <v>611</v>
      </c>
      <c r="M49" s="4" t="s">
        <v>979</v>
      </c>
      <c r="N49" s="4"/>
      <c r="O49" s="4" t="s">
        <v>979</v>
      </c>
      <c r="P49" s="4" t="s">
        <v>979</v>
      </c>
    </row>
    <row r="50" customFormat="false" ht="15" hidden="false" customHeight="false" outlineLevel="0" collapsed="false">
      <c r="A50" s="4" t="s">
        <v>640</v>
      </c>
      <c r="B50" s="4" t="n">
        <v>34</v>
      </c>
      <c r="C50" s="4" t="s">
        <v>1032</v>
      </c>
      <c r="D50" s="4"/>
      <c r="E50" s="4" t="n">
        <v>55</v>
      </c>
      <c r="F50" s="4" t="n">
        <v>30</v>
      </c>
      <c r="G50" s="4" t="n">
        <v>1639</v>
      </c>
      <c r="H50" s="4" t="s">
        <v>976</v>
      </c>
      <c r="I50" s="5"/>
      <c r="J50" s="4" t="s">
        <v>1005</v>
      </c>
      <c r="K50" s="4" t="s">
        <v>925</v>
      </c>
      <c r="L50" s="4" t="s">
        <v>611</v>
      </c>
      <c r="M50" s="4" t="s">
        <v>979</v>
      </c>
      <c r="N50" s="4"/>
      <c r="O50" s="4" t="s">
        <v>979</v>
      </c>
      <c r="P50" s="4" t="s">
        <v>979</v>
      </c>
    </row>
    <row r="51" customFormat="false" ht="15" hidden="false" customHeight="false" outlineLevel="0" collapsed="false">
      <c r="A51" s="4" t="s">
        <v>640</v>
      </c>
      <c r="B51" s="4" t="n">
        <v>35</v>
      </c>
      <c r="C51" s="4" t="s">
        <v>1033</v>
      </c>
      <c r="D51" s="4"/>
      <c r="E51" s="4" t="n">
        <v>49</v>
      </c>
      <c r="F51" s="4" t="n">
        <v>22</v>
      </c>
      <c r="G51" s="4" t="n">
        <v>1080</v>
      </c>
      <c r="H51" s="4" t="s">
        <v>976</v>
      </c>
      <c r="I51" s="5"/>
      <c r="J51" s="4" t="s">
        <v>1005</v>
      </c>
      <c r="K51" s="4" t="s">
        <v>925</v>
      </c>
      <c r="L51" s="4" t="s">
        <v>611</v>
      </c>
      <c r="M51" s="4" t="s">
        <v>979</v>
      </c>
      <c r="N51" s="4"/>
      <c r="O51" s="4" t="s">
        <v>979</v>
      </c>
      <c r="P51" s="4" t="s">
        <v>979</v>
      </c>
    </row>
    <row r="52" customFormat="false" ht="15" hidden="false" customHeight="false" outlineLevel="0" collapsed="false">
      <c r="A52" s="4" t="s">
        <v>640</v>
      </c>
      <c r="B52" s="4" t="n">
        <v>36</v>
      </c>
      <c r="C52" s="4" t="s">
        <v>1034</v>
      </c>
      <c r="D52" s="4" t="s">
        <v>993</v>
      </c>
      <c r="E52" s="4" t="n">
        <v>49</v>
      </c>
      <c r="F52" s="4" t="n">
        <v>18</v>
      </c>
      <c r="G52" s="4" t="n">
        <v>879</v>
      </c>
      <c r="H52" s="4" t="s">
        <v>976</v>
      </c>
      <c r="I52" s="5"/>
      <c r="J52" s="4" t="s">
        <v>1005</v>
      </c>
      <c r="K52" s="4" t="s">
        <v>925</v>
      </c>
      <c r="L52" s="4" t="s">
        <v>611</v>
      </c>
      <c r="M52" s="4" t="s">
        <v>979</v>
      </c>
      <c r="N52" s="4"/>
      <c r="O52" s="4" t="s">
        <v>979</v>
      </c>
      <c r="P52" s="4" t="s">
        <v>979</v>
      </c>
    </row>
    <row r="53" customFormat="false" ht="15" hidden="false" customHeight="false" outlineLevel="0" collapsed="false">
      <c r="A53" s="4" t="s">
        <v>640</v>
      </c>
      <c r="B53" s="4" t="n">
        <v>37</v>
      </c>
      <c r="C53" s="4" t="s">
        <v>1035</v>
      </c>
      <c r="D53" s="4" t="s">
        <v>981</v>
      </c>
      <c r="E53" s="4" t="n">
        <v>47</v>
      </c>
      <c r="F53" s="4" t="n">
        <v>20</v>
      </c>
      <c r="G53" s="4" t="n">
        <v>930</v>
      </c>
      <c r="H53" s="4" t="s">
        <v>979</v>
      </c>
      <c r="I53" s="5" t="s">
        <v>1030</v>
      </c>
      <c r="J53" s="4" t="s">
        <v>1005</v>
      </c>
      <c r="K53" s="4" t="s">
        <v>925</v>
      </c>
      <c r="L53" s="4" t="s">
        <v>611</v>
      </c>
      <c r="M53" s="4" t="s">
        <v>979</v>
      </c>
      <c r="N53" s="4"/>
      <c r="O53" s="4" t="s">
        <v>979</v>
      </c>
      <c r="P53" s="4" t="s">
        <v>979</v>
      </c>
    </row>
    <row r="54" customFormat="false" ht="15" hidden="false" customHeight="false" outlineLevel="0" collapsed="false">
      <c r="A54" s="4" t="s">
        <v>640</v>
      </c>
      <c r="B54" s="4" t="n">
        <v>38</v>
      </c>
      <c r="C54" s="4" t="s">
        <v>1036</v>
      </c>
      <c r="D54" s="4"/>
      <c r="E54" s="4" t="n">
        <v>46</v>
      </c>
      <c r="F54" s="4" t="n">
        <v>17</v>
      </c>
      <c r="G54" s="4" t="n">
        <v>777</v>
      </c>
      <c r="H54" s="4" t="s">
        <v>976</v>
      </c>
      <c r="I54" s="5"/>
      <c r="J54" s="4" t="s">
        <v>1005</v>
      </c>
      <c r="K54" s="4" t="s">
        <v>925</v>
      </c>
      <c r="L54" s="4" t="s">
        <v>611</v>
      </c>
      <c r="M54" s="4" t="s">
        <v>979</v>
      </c>
      <c r="N54" s="4"/>
      <c r="O54" s="4" t="s">
        <v>979</v>
      </c>
      <c r="P54" s="4" t="s">
        <v>979</v>
      </c>
    </row>
    <row r="55" customFormat="false" ht="15" hidden="false" customHeight="false" outlineLevel="0" collapsed="false">
      <c r="A55" s="4" t="s">
        <v>640</v>
      </c>
      <c r="B55" s="4" t="n">
        <v>39</v>
      </c>
      <c r="C55" s="4" t="s">
        <v>1037</v>
      </c>
      <c r="D55" s="4"/>
      <c r="E55" s="4" t="n">
        <v>44</v>
      </c>
      <c r="F55" s="4" t="n">
        <v>26</v>
      </c>
      <c r="G55" s="4" t="n">
        <v>1141</v>
      </c>
      <c r="H55" s="4" t="s">
        <v>976</v>
      </c>
      <c r="I55" s="5"/>
      <c r="J55" s="4" t="s">
        <v>1005</v>
      </c>
      <c r="K55" s="4" t="s">
        <v>925</v>
      </c>
      <c r="L55" s="4" t="s">
        <v>611</v>
      </c>
      <c r="M55" s="4" t="s">
        <v>979</v>
      </c>
      <c r="N55" s="4"/>
      <c r="O55" s="4" t="s">
        <v>979</v>
      </c>
      <c r="P55" s="4" t="s">
        <v>979</v>
      </c>
    </row>
    <row r="56" customFormat="false" ht="15" hidden="false" customHeight="false" outlineLevel="0" collapsed="false">
      <c r="A56" s="4" t="s">
        <v>640</v>
      </c>
      <c r="B56" s="4" t="n">
        <v>40</v>
      </c>
      <c r="C56" s="4" t="s">
        <v>1038</v>
      </c>
      <c r="D56" s="4"/>
      <c r="E56" s="4" t="n">
        <v>44</v>
      </c>
      <c r="F56" s="4" t="n">
        <v>31</v>
      </c>
      <c r="G56" s="4" t="n">
        <v>1358</v>
      </c>
      <c r="H56" s="4" t="s">
        <v>976</v>
      </c>
      <c r="I56" s="5"/>
      <c r="J56" s="4" t="s">
        <v>1005</v>
      </c>
      <c r="K56" s="4" t="s">
        <v>925</v>
      </c>
      <c r="L56" s="4" t="s">
        <v>611</v>
      </c>
      <c r="M56" s="4" t="s">
        <v>979</v>
      </c>
      <c r="N56" s="4"/>
      <c r="O56" s="4" t="s">
        <v>979</v>
      </c>
      <c r="P56" s="4" t="s">
        <v>979</v>
      </c>
    </row>
    <row r="57" customFormat="false" ht="15" hidden="false" customHeight="false" outlineLevel="0" collapsed="false">
      <c r="A57" s="4" t="s">
        <v>640</v>
      </c>
      <c r="B57" s="4" t="n">
        <v>41</v>
      </c>
      <c r="C57" s="4" t="s">
        <v>1039</v>
      </c>
      <c r="D57" s="4"/>
      <c r="E57" s="4" t="n">
        <v>42</v>
      </c>
      <c r="F57" s="4" t="n">
        <v>32</v>
      </c>
      <c r="G57" s="4" t="n">
        <v>1344</v>
      </c>
      <c r="H57" s="4" t="s">
        <v>976</v>
      </c>
      <c r="I57" s="5"/>
      <c r="J57" s="4" t="s">
        <v>1005</v>
      </c>
      <c r="K57" s="4" t="s">
        <v>925</v>
      </c>
      <c r="L57" s="4" t="s">
        <v>611</v>
      </c>
      <c r="M57" s="4" t="s">
        <v>979</v>
      </c>
      <c r="N57" s="4"/>
      <c r="O57" s="4" t="s">
        <v>979</v>
      </c>
      <c r="P57" s="4" t="s">
        <v>979</v>
      </c>
    </row>
    <row r="58" customFormat="false" ht="15" hidden="false" customHeight="false" outlineLevel="0" collapsed="false">
      <c r="A58" s="4" t="s">
        <v>640</v>
      </c>
      <c r="B58" s="4" t="n">
        <v>42</v>
      </c>
      <c r="C58" s="4" t="s">
        <v>1040</v>
      </c>
      <c r="D58" s="4"/>
      <c r="E58" s="4" t="n">
        <v>41</v>
      </c>
      <c r="F58" s="4" t="n">
        <v>32</v>
      </c>
      <c r="G58" s="4" t="n">
        <v>1327</v>
      </c>
      <c r="H58" s="4" t="s">
        <v>976</v>
      </c>
      <c r="I58" s="5"/>
      <c r="J58" s="4" t="s">
        <v>1005</v>
      </c>
      <c r="K58" s="4" t="s">
        <v>925</v>
      </c>
      <c r="L58" s="4" t="s">
        <v>611</v>
      </c>
      <c r="M58" s="4" t="s">
        <v>979</v>
      </c>
      <c r="N58" s="4"/>
      <c r="O58" s="4" t="s">
        <v>979</v>
      </c>
      <c r="P58" s="4" t="s">
        <v>979</v>
      </c>
    </row>
    <row r="59" customFormat="false" ht="15" hidden="false" customHeight="false" outlineLevel="0" collapsed="false">
      <c r="A59" s="4" t="s">
        <v>640</v>
      </c>
      <c r="B59" s="4" t="n">
        <v>43</v>
      </c>
      <c r="C59" s="4" t="s">
        <v>1041</v>
      </c>
      <c r="D59" s="4"/>
      <c r="E59" s="4" t="n">
        <v>41</v>
      </c>
      <c r="F59" s="4" t="n">
        <v>26</v>
      </c>
      <c r="G59" s="4" t="n">
        <v>1064</v>
      </c>
      <c r="H59" s="4" t="s">
        <v>976</v>
      </c>
      <c r="I59" s="5"/>
      <c r="J59" s="4" t="s">
        <v>1005</v>
      </c>
      <c r="K59" s="4" t="s">
        <v>925</v>
      </c>
      <c r="L59" s="4" t="s">
        <v>611</v>
      </c>
      <c r="M59" s="4" t="s">
        <v>979</v>
      </c>
      <c r="N59" s="4"/>
      <c r="O59" s="4" t="s">
        <v>979</v>
      </c>
      <c r="P59" s="4" t="s">
        <v>979</v>
      </c>
    </row>
    <row r="60" customFormat="false" ht="15" hidden="false" customHeight="false" outlineLevel="0" collapsed="false">
      <c r="A60" s="4" t="s">
        <v>640</v>
      </c>
      <c r="B60" s="4" t="n">
        <v>44</v>
      </c>
      <c r="C60" s="4" t="s">
        <v>1042</v>
      </c>
      <c r="D60" s="4"/>
      <c r="E60" s="4" t="n">
        <v>38</v>
      </c>
      <c r="F60" s="4" t="n">
        <v>26</v>
      </c>
      <c r="G60" s="4" t="n">
        <v>989</v>
      </c>
      <c r="H60" s="4" t="s">
        <v>976</v>
      </c>
      <c r="I60" s="5"/>
      <c r="J60" s="4" t="s">
        <v>1005</v>
      </c>
      <c r="K60" s="4" t="s">
        <v>925</v>
      </c>
      <c r="L60" s="4" t="s">
        <v>611</v>
      </c>
      <c r="M60" s="4" t="s">
        <v>979</v>
      </c>
      <c r="N60" s="4"/>
      <c r="O60" s="4" t="s">
        <v>979</v>
      </c>
      <c r="P60" s="4" t="s">
        <v>979</v>
      </c>
    </row>
    <row r="61" customFormat="false" ht="15" hidden="false" customHeight="false" outlineLevel="0" collapsed="false">
      <c r="A61" s="4" t="s">
        <v>640</v>
      </c>
      <c r="B61" s="4" t="n">
        <v>45</v>
      </c>
      <c r="C61" s="4" t="s">
        <v>1043</v>
      </c>
      <c r="D61" s="4"/>
      <c r="E61" s="4" t="n">
        <v>37</v>
      </c>
      <c r="F61" s="4" t="n">
        <v>21</v>
      </c>
      <c r="G61" s="4" t="n">
        <v>771</v>
      </c>
      <c r="H61" s="4" t="s">
        <v>976</v>
      </c>
      <c r="I61" s="5"/>
      <c r="J61" s="4" t="s">
        <v>1005</v>
      </c>
      <c r="K61" s="4" t="s">
        <v>925</v>
      </c>
      <c r="L61" s="4" t="s">
        <v>611</v>
      </c>
      <c r="M61" s="4" t="s">
        <v>979</v>
      </c>
      <c r="N61" s="4"/>
      <c r="O61" s="4" t="s">
        <v>979</v>
      </c>
      <c r="P61" s="4" t="s">
        <v>979</v>
      </c>
    </row>
    <row r="62" customFormat="false" ht="15" hidden="false" customHeight="false" outlineLevel="0" collapsed="false">
      <c r="A62" s="4" t="s">
        <v>640</v>
      </c>
      <c r="B62" s="4" t="n">
        <v>46</v>
      </c>
      <c r="C62" s="4" t="s">
        <v>1044</v>
      </c>
      <c r="D62" s="4"/>
      <c r="E62" s="4" t="n">
        <v>35</v>
      </c>
      <c r="F62" s="4" t="n">
        <v>10</v>
      </c>
      <c r="G62" s="4" t="n">
        <v>349</v>
      </c>
      <c r="H62" s="4" t="s">
        <v>976</v>
      </c>
      <c r="I62" s="5"/>
      <c r="J62" s="4" t="s">
        <v>1005</v>
      </c>
      <c r="K62" s="4" t="s">
        <v>925</v>
      </c>
      <c r="L62" s="4" t="s">
        <v>611</v>
      </c>
      <c r="M62" s="4" t="s">
        <v>979</v>
      </c>
      <c r="N62" s="4"/>
      <c r="O62" s="4" t="s">
        <v>979</v>
      </c>
      <c r="P62" s="4" t="s">
        <v>979</v>
      </c>
    </row>
    <row r="63" customFormat="false" ht="15" hidden="false" customHeight="false" outlineLevel="0" collapsed="false">
      <c r="A63" s="4" t="s">
        <v>640</v>
      </c>
      <c r="B63" s="4" t="n">
        <v>47</v>
      </c>
      <c r="C63" s="4" t="s">
        <v>1045</v>
      </c>
      <c r="D63" s="4"/>
      <c r="E63" s="4" t="n">
        <v>32</v>
      </c>
      <c r="F63" s="4" t="n">
        <v>32</v>
      </c>
      <c r="G63" s="4" t="n">
        <v>1010</v>
      </c>
      <c r="H63" s="4" t="s">
        <v>976</v>
      </c>
      <c r="I63" s="5"/>
      <c r="J63" s="4" t="s">
        <v>1005</v>
      </c>
      <c r="K63" s="4" t="s">
        <v>925</v>
      </c>
      <c r="L63" s="4" t="s">
        <v>611</v>
      </c>
      <c r="M63" s="4" t="s">
        <v>979</v>
      </c>
      <c r="N63" s="4"/>
      <c r="O63" s="4" t="s">
        <v>979</v>
      </c>
      <c r="P63" s="4" t="s">
        <v>979</v>
      </c>
    </row>
    <row r="64" customFormat="false" ht="15" hidden="false" customHeight="false" outlineLevel="0" collapsed="false">
      <c r="A64" s="4" t="s">
        <v>640</v>
      </c>
      <c r="B64" s="4" t="n">
        <v>48</v>
      </c>
      <c r="C64" s="4" t="s">
        <v>1046</v>
      </c>
      <c r="D64" s="4"/>
      <c r="E64" s="4" t="n">
        <v>32</v>
      </c>
      <c r="F64" s="4" t="n">
        <v>12</v>
      </c>
      <c r="G64" s="4" t="n">
        <v>378</v>
      </c>
      <c r="H64" s="4" t="s">
        <v>976</v>
      </c>
      <c r="I64" s="5"/>
      <c r="J64" s="4" t="s">
        <v>1005</v>
      </c>
      <c r="K64" s="4" t="s">
        <v>925</v>
      </c>
      <c r="L64" s="4" t="s">
        <v>611</v>
      </c>
      <c r="M64" s="4" t="s">
        <v>979</v>
      </c>
      <c r="N64" s="4"/>
      <c r="O64" s="4" t="s">
        <v>979</v>
      </c>
      <c r="P64" s="4" t="s">
        <v>979</v>
      </c>
    </row>
    <row r="65" customFormat="false" ht="15" hidden="false" customHeight="false" outlineLevel="0" collapsed="false">
      <c r="A65" s="4" t="s">
        <v>640</v>
      </c>
      <c r="B65" s="4" t="n">
        <v>49</v>
      </c>
      <c r="C65" s="4" t="s">
        <v>1047</v>
      </c>
      <c r="D65" s="4"/>
      <c r="E65" s="4" t="n">
        <v>31</v>
      </c>
      <c r="F65" s="4" t="n">
        <v>27</v>
      </c>
      <c r="G65" s="4" t="n">
        <v>842</v>
      </c>
      <c r="H65" s="4" t="s">
        <v>976</v>
      </c>
      <c r="I65" s="5"/>
      <c r="J65" s="4" t="s">
        <v>1005</v>
      </c>
      <c r="K65" s="4" t="s">
        <v>925</v>
      </c>
      <c r="L65" s="4" t="s">
        <v>611</v>
      </c>
      <c r="M65" s="4" t="s">
        <v>979</v>
      </c>
      <c r="N65" s="4"/>
      <c r="O65" s="4" t="s">
        <v>979</v>
      </c>
      <c r="P65" s="4" t="s">
        <v>979</v>
      </c>
    </row>
    <row r="66" customFormat="false" ht="15" hidden="false" customHeight="false" outlineLevel="0" collapsed="false">
      <c r="A66" s="4" t="s">
        <v>640</v>
      </c>
      <c r="B66" s="4" t="n">
        <v>50</v>
      </c>
      <c r="C66" s="4" t="s">
        <v>1048</v>
      </c>
      <c r="D66" s="4"/>
      <c r="E66" s="4" t="n">
        <v>31</v>
      </c>
      <c r="F66" s="4" t="n">
        <v>11</v>
      </c>
      <c r="G66" s="4" t="n">
        <v>337</v>
      </c>
      <c r="H66" s="4" t="s">
        <v>976</v>
      </c>
      <c r="I66" s="5"/>
      <c r="J66" s="4" t="s">
        <v>1005</v>
      </c>
      <c r="K66" s="4" t="s">
        <v>925</v>
      </c>
      <c r="L66" s="4" t="s">
        <v>611</v>
      </c>
      <c r="M66" s="4" t="s">
        <v>979</v>
      </c>
      <c r="N66" s="4"/>
      <c r="O66" s="4" t="s">
        <v>979</v>
      </c>
      <c r="P66" s="4" t="s">
        <v>979</v>
      </c>
    </row>
    <row r="67" customFormat="false" ht="15" hidden="false" customHeight="false" outlineLevel="0" collapsed="false">
      <c r="A67" s="4" t="s">
        <v>640</v>
      </c>
      <c r="B67" s="4" t="n">
        <v>51</v>
      </c>
      <c r="C67" s="4" t="s">
        <v>1049</v>
      </c>
      <c r="D67" s="4"/>
      <c r="E67" s="4" t="n">
        <v>30</v>
      </c>
      <c r="F67" s="4" t="n">
        <v>16</v>
      </c>
      <c r="G67" s="4" t="n">
        <v>472</v>
      </c>
      <c r="H67" s="4" t="s">
        <v>976</v>
      </c>
      <c r="I67" s="5"/>
      <c r="J67" s="4" t="s">
        <v>1005</v>
      </c>
      <c r="K67" s="4" t="s">
        <v>925</v>
      </c>
      <c r="L67" s="4" t="s">
        <v>611</v>
      </c>
      <c r="M67" s="4" t="s">
        <v>979</v>
      </c>
      <c r="N67" s="4"/>
      <c r="O67" s="4" t="s">
        <v>979</v>
      </c>
      <c r="P67" s="4" t="s">
        <v>979</v>
      </c>
    </row>
    <row r="68" customFormat="false" ht="15" hidden="false" customHeight="false" outlineLevel="0" collapsed="false">
      <c r="A68" s="4" t="s">
        <v>640</v>
      </c>
      <c r="B68" s="4" t="n">
        <v>52</v>
      </c>
      <c r="C68" s="4" t="s">
        <v>1050</v>
      </c>
      <c r="D68" s="4"/>
      <c r="E68" s="4" t="n">
        <v>29</v>
      </c>
      <c r="F68" s="4" t="n">
        <v>16</v>
      </c>
      <c r="G68" s="4" t="n">
        <v>464</v>
      </c>
      <c r="H68" s="4" t="s">
        <v>976</v>
      </c>
      <c r="I68" s="5"/>
      <c r="J68" s="4" t="s">
        <v>1005</v>
      </c>
      <c r="K68" s="4" t="s">
        <v>925</v>
      </c>
      <c r="L68" s="4" t="s">
        <v>611</v>
      </c>
      <c r="M68" s="4" t="s">
        <v>979</v>
      </c>
      <c r="N68" s="4"/>
      <c r="O68" s="4" t="s">
        <v>979</v>
      </c>
      <c r="P68" s="4" t="s">
        <v>979</v>
      </c>
    </row>
    <row r="69" customFormat="false" ht="15" hidden="false" customHeight="false" outlineLevel="0" collapsed="false">
      <c r="A69" s="4" t="s">
        <v>640</v>
      </c>
      <c r="B69" s="4" t="n">
        <v>53</v>
      </c>
      <c r="C69" s="4" t="s">
        <v>1051</v>
      </c>
      <c r="D69" s="4"/>
      <c r="E69" s="4" t="n">
        <v>28</v>
      </c>
      <c r="F69" s="4" t="n">
        <v>9</v>
      </c>
      <c r="G69" s="4" t="n">
        <v>251</v>
      </c>
      <c r="H69" s="4" t="s">
        <v>976</v>
      </c>
      <c r="I69" s="5"/>
      <c r="J69" s="4" t="s">
        <v>1005</v>
      </c>
      <c r="K69" s="4" t="s">
        <v>925</v>
      </c>
      <c r="L69" s="4" t="s">
        <v>611</v>
      </c>
      <c r="M69" s="4" t="s">
        <v>979</v>
      </c>
      <c r="N69" s="4"/>
      <c r="O69" s="4" t="s">
        <v>979</v>
      </c>
      <c r="P69" s="4" t="s">
        <v>979</v>
      </c>
    </row>
    <row r="70" customFormat="false" ht="15" hidden="false" customHeight="false" outlineLevel="0" collapsed="false">
      <c r="A70" s="4" t="s">
        <v>640</v>
      </c>
      <c r="B70" s="4" t="n">
        <v>54</v>
      </c>
      <c r="C70" s="4" t="s">
        <v>1052</v>
      </c>
      <c r="D70" s="4" t="s">
        <v>981</v>
      </c>
      <c r="E70" s="4" t="n">
        <v>25</v>
      </c>
      <c r="F70" s="4" t="n">
        <v>10</v>
      </c>
      <c r="G70" s="4" t="n">
        <v>251</v>
      </c>
      <c r="H70" s="4" t="s">
        <v>979</v>
      </c>
      <c r="I70" s="5" t="s">
        <v>1030</v>
      </c>
      <c r="J70" s="4" t="s">
        <v>1005</v>
      </c>
      <c r="K70" s="4" t="s">
        <v>925</v>
      </c>
      <c r="L70" s="4" t="s">
        <v>611</v>
      </c>
      <c r="M70" s="4" t="s">
        <v>979</v>
      </c>
      <c r="N70" s="4"/>
      <c r="O70" s="4" t="s">
        <v>979</v>
      </c>
      <c r="P70" s="4" t="s">
        <v>979</v>
      </c>
    </row>
    <row r="71" customFormat="false" ht="15" hidden="false" customHeight="false" outlineLevel="0" collapsed="false">
      <c r="A71" s="4" t="s">
        <v>640</v>
      </c>
      <c r="B71" s="4" t="n">
        <v>55</v>
      </c>
      <c r="C71" s="4" t="s">
        <v>1053</v>
      </c>
      <c r="D71" s="4"/>
      <c r="E71" s="4" t="n">
        <v>23</v>
      </c>
      <c r="F71" s="4" t="n">
        <v>22</v>
      </c>
      <c r="G71" s="4" t="n">
        <v>501</v>
      </c>
      <c r="H71" s="4" t="s">
        <v>976</v>
      </c>
      <c r="I71" s="5"/>
      <c r="J71" s="4" t="s">
        <v>1005</v>
      </c>
      <c r="K71" s="4" t="s">
        <v>925</v>
      </c>
      <c r="L71" s="4" t="s">
        <v>611</v>
      </c>
      <c r="M71" s="4" t="s">
        <v>979</v>
      </c>
      <c r="N71" s="4"/>
      <c r="O71" s="4" t="s">
        <v>979</v>
      </c>
      <c r="P71" s="4" t="s">
        <v>979</v>
      </c>
    </row>
    <row r="72" customFormat="false" ht="15" hidden="false" customHeight="false" outlineLevel="0" collapsed="false">
      <c r="A72" s="4" t="s">
        <v>640</v>
      </c>
      <c r="B72" s="4" t="n">
        <v>56</v>
      </c>
      <c r="C72" s="4" t="s">
        <v>1054</v>
      </c>
      <c r="D72" s="4"/>
      <c r="E72" s="4" t="n">
        <v>18</v>
      </c>
      <c r="F72" s="4" t="n">
        <v>31</v>
      </c>
      <c r="G72" s="4" t="n">
        <v>556</v>
      </c>
      <c r="H72" s="4" t="s">
        <v>976</v>
      </c>
      <c r="I72" s="5"/>
      <c r="J72" s="4" t="s">
        <v>1005</v>
      </c>
      <c r="K72" s="4" t="s">
        <v>925</v>
      </c>
      <c r="L72" s="4" t="s">
        <v>611</v>
      </c>
      <c r="M72" s="4" t="s">
        <v>979</v>
      </c>
      <c r="N72" s="4"/>
      <c r="O72" s="4" t="s">
        <v>979</v>
      </c>
      <c r="P72" s="4" t="s">
        <v>979</v>
      </c>
    </row>
    <row r="73" customFormat="false" ht="15" hidden="false" customHeight="false" outlineLevel="0" collapsed="false">
      <c r="A73" s="4" t="s">
        <v>640</v>
      </c>
      <c r="B73" s="4" t="n">
        <v>57</v>
      </c>
      <c r="C73" s="4" t="s">
        <v>1055</v>
      </c>
      <c r="D73" s="4"/>
      <c r="E73" s="4" t="n">
        <v>18</v>
      </c>
      <c r="F73" s="4" t="n">
        <v>28</v>
      </c>
      <c r="G73" s="4" t="n">
        <v>501</v>
      </c>
      <c r="H73" s="4" t="s">
        <v>976</v>
      </c>
      <c r="I73" s="5"/>
      <c r="J73" s="4" t="s">
        <v>1005</v>
      </c>
      <c r="K73" s="4" t="s">
        <v>925</v>
      </c>
      <c r="L73" s="4" t="s">
        <v>611</v>
      </c>
      <c r="M73" s="4" t="s">
        <v>979</v>
      </c>
      <c r="N73" s="4"/>
      <c r="O73" s="4" t="s">
        <v>979</v>
      </c>
      <c r="P73" s="4" t="s">
        <v>979</v>
      </c>
    </row>
    <row r="74" customFormat="false" ht="15" hidden="false" customHeight="false" outlineLevel="0" collapsed="false">
      <c r="A74" s="4" t="s">
        <v>640</v>
      </c>
      <c r="B74" s="4" t="n">
        <v>58</v>
      </c>
      <c r="C74" s="4" t="s">
        <v>1056</v>
      </c>
      <c r="D74" s="4"/>
      <c r="E74" s="4" t="n">
        <v>18</v>
      </c>
      <c r="F74" s="4" t="n">
        <v>15</v>
      </c>
      <c r="G74" s="4" t="n">
        <v>263</v>
      </c>
      <c r="H74" s="4" t="s">
        <v>976</v>
      </c>
      <c r="I74" s="5"/>
      <c r="J74" s="4" t="s">
        <v>1005</v>
      </c>
      <c r="K74" s="4" t="s">
        <v>925</v>
      </c>
      <c r="L74" s="4" t="s">
        <v>611</v>
      </c>
      <c r="M74" s="4" t="s">
        <v>979</v>
      </c>
      <c r="N74" s="4"/>
      <c r="O74" s="4" t="s">
        <v>979</v>
      </c>
      <c r="P74" s="4" t="s">
        <v>979</v>
      </c>
    </row>
    <row r="75" customFormat="false" ht="15" hidden="false" customHeight="false" outlineLevel="0" collapsed="false">
      <c r="A75" s="4" t="s">
        <v>640</v>
      </c>
      <c r="B75" s="4" t="n">
        <v>59</v>
      </c>
      <c r="C75" s="4" t="s">
        <v>1057</v>
      </c>
      <c r="D75" s="4"/>
      <c r="E75" s="4" t="n">
        <v>17</v>
      </c>
      <c r="F75" s="4" t="n">
        <v>15</v>
      </c>
      <c r="G75" s="4" t="n">
        <v>252</v>
      </c>
      <c r="H75" s="4" t="s">
        <v>976</v>
      </c>
      <c r="I75" s="5"/>
      <c r="J75" s="4" t="s">
        <v>1005</v>
      </c>
      <c r="K75" s="4" t="s">
        <v>925</v>
      </c>
      <c r="L75" s="4" t="s">
        <v>611</v>
      </c>
      <c r="M75" s="4" t="s">
        <v>979</v>
      </c>
      <c r="N75" s="4"/>
      <c r="O75" s="4" t="s">
        <v>979</v>
      </c>
      <c r="P75" s="4" t="s">
        <v>979</v>
      </c>
    </row>
    <row r="76" customFormat="false" ht="15" hidden="false" customHeight="false" outlineLevel="0" collapsed="false">
      <c r="A76" s="4" t="s">
        <v>640</v>
      </c>
      <c r="B76" s="4" t="n">
        <v>60</v>
      </c>
      <c r="C76" s="4" t="s">
        <v>1058</v>
      </c>
      <c r="D76" s="4"/>
      <c r="E76" s="4" t="n">
        <v>17</v>
      </c>
      <c r="F76" s="4" t="n">
        <v>19</v>
      </c>
      <c r="G76" s="4" t="n">
        <v>318</v>
      </c>
      <c r="H76" s="4" t="s">
        <v>976</v>
      </c>
      <c r="I76" s="5"/>
      <c r="J76" s="4" t="s">
        <v>1005</v>
      </c>
      <c r="K76" s="4" t="s">
        <v>925</v>
      </c>
      <c r="L76" s="4" t="s">
        <v>611</v>
      </c>
      <c r="M76" s="4" t="s">
        <v>979</v>
      </c>
      <c r="N76" s="4"/>
      <c r="O76" s="4" t="s">
        <v>979</v>
      </c>
      <c r="P76" s="4" t="s">
        <v>979</v>
      </c>
    </row>
    <row r="77" customFormat="false" ht="15" hidden="false" customHeight="false" outlineLevel="0" collapsed="false">
      <c r="A77" s="4" t="s">
        <v>640</v>
      </c>
      <c r="B77" s="4" t="n">
        <v>61</v>
      </c>
      <c r="C77" s="4" t="s">
        <v>1059</v>
      </c>
      <c r="D77" s="4"/>
      <c r="E77" s="4" t="n">
        <v>13</v>
      </c>
      <c r="F77" s="4" t="n">
        <v>21</v>
      </c>
      <c r="G77" s="4" t="n">
        <v>283</v>
      </c>
      <c r="H77" s="4" t="s">
        <v>976</v>
      </c>
      <c r="I77" s="5"/>
      <c r="J77" s="4" t="s">
        <v>1005</v>
      </c>
      <c r="K77" s="4" t="s">
        <v>925</v>
      </c>
      <c r="L77" s="4" t="s">
        <v>611</v>
      </c>
      <c r="M77" s="4" t="s">
        <v>979</v>
      </c>
      <c r="N77" s="4"/>
      <c r="O77" s="4" t="s">
        <v>979</v>
      </c>
      <c r="P77" s="4" t="s">
        <v>979</v>
      </c>
    </row>
    <row r="78" customFormat="false" ht="15" hidden="false" customHeight="false" outlineLevel="0" collapsed="false">
      <c r="A78" s="4" t="s">
        <v>640</v>
      </c>
      <c r="B78" s="4" t="n">
        <v>62</v>
      </c>
      <c r="C78" s="4" t="s">
        <v>1060</v>
      </c>
      <c r="D78" s="4"/>
      <c r="E78" s="4" t="n">
        <v>13</v>
      </c>
      <c r="F78" s="4" t="n">
        <v>20</v>
      </c>
      <c r="G78" s="4" t="n">
        <v>251</v>
      </c>
      <c r="H78" s="4" t="s">
        <v>976</v>
      </c>
      <c r="I78" s="5"/>
      <c r="J78" s="4" t="s">
        <v>1005</v>
      </c>
      <c r="K78" s="4" t="s">
        <v>925</v>
      </c>
      <c r="L78" s="4" t="s">
        <v>611</v>
      </c>
      <c r="M78" s="4" t="s">
        <v>979</v>
      </c>
      <c r="N78" s="4"/>
      <c r="O78" s="4" t="s">
        <v>979</v>
      </c>
      <c r="P78" s="4" t="s">
        <v>979</v>
      </c>
    </row>
    <row r="79" customFormat="false" ht="15" hidden="false" customHeight="false" outlineLevel="0" collapsed="false">
      <c r="A79" s="4" t="s">
        <v>640</v>
      </c>
      <c r="B79" s="4" t="n">
        <v>63</v>
      </c>
      <c r="C79" s="4" t="s">
        <v>1061</v>
      </c>
      <c r="D79" s="4"/>
      <c r="E79" s="4" t="n">
        <v>12</v>
      </c>
      <c r="F79" s="4" t="n">
        <v>24</v>
      </c>
      <c r="G79" s="4" t="n">
        <v>299</v>
      </c>
      <c r="H79" s="4" t="s">
        <v>976</v>
      </c>
      <c r="I79" s="5"/>
      <c r="J79" s="4" t="s">
        <v>1005</v>
      </c>
      <c r="K79" s="4" t="s">
        <v>925</v>
      </c>
      <c r="L79" s="4" t="s">
        <v>611</v>
      </c>
      <c r="M79" s="4" t="s">
        <v>979</v>
      </c>
      <c r="N79" s="4"/>
      <c r="O79" s="4" t="s">
        <v>979</v>
      </c>
      <c r="P79" s="4" t="s">
        <v>979</v>
      </c>
    </row>
    <row r="80" customFormat="false" ht="15" hidden="false" customHeight="false" outlineLevel="0" collapsed="false">
      <c r="A80" s="4" t="s">
        <v>640</v>
      </c>
      <c r="B80" s="4" t="n">
        <v>64</v>
      </c>
      <c r="C80" s="4" t="s">
        <v>1062</v>
      </c>
      <c r="D80" s="4"/>
      <c r="E80" s="4" t="n">
        <v>12</v>
      </c>
      <c r="F80" s="4" t="n">
        <v>11</v>
      </c>
      <c r="G80" s="4" t="n">
        <v>136</v>
      </c>
      <c r="H80" s="4" t="s">
        <v>976</v>
      </c>
      <c r="I80" s="5"/>
      <c r="J80" s="4" t="s">
        <v>1005</v>
      </c>
      <c r="K80" s="4" t="s">
        <v>925</v>
      </c>
      <c r="L80" s="4" t="s">
        <v>611</v>
      </c>
      <c r="M80" s="4" t="s">
        <v>979</v>
      </c>
      <c r="N80" s="4"/>
      <c r="O80" s="4" t="s">
        <v>979</v>
      </c>
      <c r="P80" s="4" t="s">
        <v>979</v>
      </c>
    </row>
    <row r="81" customFormat="false" ht="15" hidden="false" customHeight="false" outlineLevel="0" collapsed="false">
      <c r="A81" s="4" t="s">
        <v>640</v>
      </c>
      <c r="B81" s="4" t="n">
        <v>65</v>
      </c>
      <c r="C81" s="4" t="s">
        <v>1063</v>
      </c>
      <c r="D81" s="4"/>
      <c r="E81" s="4" t="n">
        <v>12</v>
      </c>
      <c r="F81" s="4" t="n">
        <v>6</v>
      </c>
      <c r="G81" s="4" t="n">
        <v>73</v>
      </c>
      <c r="H81" s="4" t="s">
        <v>976</v>
      </c>
      <c r="I81" s="5"/>
      <c r="J81" s="4" t="s">
        <v>1005</v>
      </c>
      <c r="K81" s="4" t="s">
        <v>925</v>
      </c>
      <c r="L81" s="4" t="s">
        <v>611</v>
      </c>
      <c r="M81" s="4" t="s">
        <v>979</v>
      </c>
      <c r="N81" s="4"/>
      <c r="O81" s="4" t="s">
        <v>979</v>
      </c>
      <c r="P81" s="4" t="s">
        <v>979</v>
      </c>
    </row>
    <row r="82" customFormat="false" ht="15" hidden="false" customHeight="false" outlineLevel="0" collapsed="false">
      <c r="A82" s="4" t="s">
        <v>640</v>
      </c>
      <c r="B82" s="4" t="n">
        <v>66</v>
      </c>
      <c r="C82" s="4" t="s">
        <v>1064</v>
      </c>
      <c r="D82" s="4"/>
      <c r="E82" s="4" t="n">
        <v>10</v>
      </c>
      <c r="F82" s="4" t="n">
        <v>22</v>
      </c>
      <c r="G82" s="4" t="n">
        <v>221</v>
      </c>
      <c r="H82" s="4" t="s">
        <v>976</v>
      </c>
      <c r="I82" s="5"/>
      <c r="J82" s="4" t="s">
        <v>1005</v>
      </c>
      <c r="K82" s="4" t="s">
        <v>925</v>
      </c>
      <c r="L82" s="4" t="s">
        <v>611</v>
      </c>
      <c r="M82" s="4" t="s">
        <v>979</v>
      </c>
      <c r="N82" s="4"/>
      <c r="O82" s="4" t="s">
        <v>979</v>
      </c>
      <c r="P82" s="4" t="s">
        <v>979</v>
      </c>
    </row>
    <row r="83" customFormat="false" ht="15" hidden="false" customHeight="false" outlineLevel="0" collapsed="false">
      <c r="A83" s="4" t="s">
        <v>640</v>
      </c>
      <c r="B83" s="4" t="n">
        <v>67</v>
      </c>
      <c r="C83" s="4" t="s">
        <v>1065</v>
      </c>
      <c r="D83" s="4"/>
      <c r="E83" s="4" t="n">
        <v>9</v>
      </c>
      <c r="F83" s="4" t="n">
        <v>15</v>
      </c>
      <c r="G83" s="4" t="n">
        <v>136</v>
      </c>
      <c r="H83" s="4" t="s">
        <v>976</v>
      </c>
      <c r="I83" s="5"/>
      <c r="J83" s="4" t="s">
        <v>1005</v>
      </c>
      <c r="K83" s="4" t="s">
        <v>925</v>
      </c>
      <c r="L83" s="4" t="s">
        <v>611</v>
      </c>
      <c r="M83" s="4" t="s">
        <v>979</v>
      </c>
      <c r="N83" s="4"/>
      <c r="O83" s="4" t="s">
        <v>979</v>
      </c>
      <c r="P83" s="4" t="s">
        <v>979</v>
      </c>
    </row>
    <row r="84" customFormat="false" ht="15" hidden="false" customHeight="false" outlineLevel="0" collapsed="false">
      <c r="A84" s="4" t="s">
        <v>640</v>
      </c>
      <c r="B84" s="4" t="n">
        <v>68</v>
      </c>
      <c r="C84" s="4" t="s">
        <v>1066</v>
      </c>
      <c r="D84" s="4"/>
      <c r="E84" s="4" t="n">
        <v>9</v>
      </c>
      <c r="F84" s="4" t="n">
        <v>18</v>
      </c>
      <c r="G84" s="4" t="n">
        <v>158</v>
      </c>
      <c r="H84" s="4" t="s">
        <v>976</v>
      </c>
      <c r="I84" s="5"/>
      <c r="J84" s="4" t="s">
        <v>1005</v>
      </c>
      <c r="K84" s="4" t="s">
        <v>925</v>
      </c>
      <c r="L84" s="4" t="s">
        <v>611</v>
      </c>
      <c r="M84" s="4" t="s">
        <v>979</v>
      </c>
      <c r="N84" s="4"/>
      <c r="O84" s="4" t="s">
        <v>979</v>
      </c>
      <c r="P84" s="4" t="s">
        <v>979</v>
      </c>
    </row>
    <row r="85" customFormat="false" ht="15" hidden="false" customHeight="false" outlineLevel="0" collapsed="false">
      <c r="A85" s="4" t="s">
        <v>640</v>
      </c>
      <c r="B85" s="4" t="n">
        <v>69</v>
      </c>
      <c r="C85" s="4" t="s">
        <v>1067</v>
      </c>
      <c r="D85" s="4"/>
      <c r="E85" s="4" t="n">
        <v>3</v>
      </c>
      <c r="F85" s="4" t="n">
        <v>17</v>
      </c>
      <c r="G85" s="4" t="n">
        <v>50</v>
      </c>
      <c r="H85" s="4" t="s">
        <v>976</v>
      </c>
      <c r="I85" s="5"/>
      <c r="J85" s="4" t="s">
        <v>1005</v>
      </c>
      <c r="K85" s="4" t="s">
        <v>925</v>
      </c>
      <c r="L85" s="4" t="s">
        <v>611</v>
      </c>
      <c r="M85" s="4" t="s">
        <v>979</v>
      </c>
      <c r="N85" s="4"/>
      <c r="O85" s="4" t="s">
        <v>979</v>
      </c>
      <c r="P85" s="4" t="s">
        <v>979</v>
      </c>
    </row>
    <row r="86" customFormat="false" ht="15" hidden="false" customHeight="false" outlineLevel="0" collapsed="false">
      <c r="A86" s="4" t="s">
        <v>640</v>
      </c>
      <c r="B86" s="4" t="n">
        <v>70</v>
      </c>
      <c r="C86" s="4" t="s">
        <v>1068</v>
      </c>
      <c r="D86" s="4"/>
      <c r="E86" s="4" t="n">
        <v>2</v>
      </c>
      <c r="F86" s="4" t="n">
        <v>20</v>
      </c>
      <c r="G86" s="4" t="n">
        <v>42</v>
      </c>
      <c r="H86" s="4" t="s">
        <v>976</v>
      </c>
      <c r="I86" s="5"/>
      <c r="J86" s="4" t="s">
        <v>1005</v>
      </c>
      <c r="K86" s="4" t="s">
        <v>925</v>
      </c>
      <c r="L86" s="4" t="s">
        <v>611</v>
      </c>
      <c r="M86" s="4" t="s">
        <v>979</v>
      </c>
      <c r="N86" s="4"/>
      <c r="O86" s="4" t="s">
        <v>979</v>
      </c>
      <c r="P86" s="4" t="s">
        <v>979</v>
      </c>
    </row>
    <row r="87" customFormat="false" ht="15" hidden="false" customHeight="false" outlineLevel="0" collapsed="false">
      <c r="A87" s="4" t="s">
        <v>640</v>
      </c>
      <c r="B87" s="4" t="n">
        <v>71</v>
      </c>
      <c r="C87" s="4" t="s">
        <v>1069</v>
      </c>
      <c r="D87" s="4"/>
      <c r="E87" s="4" t="n">
        <v>2</v>
      </c>
      <c r="F87" s="4" t="n">
        <v>22</v>
      </c>
      <c r="G87" s="4" t="n">
        <v>40</v>
      </c>
      <c r="H87" s="4" t="s">
        <v>976</v>
      </c>
      <c r="I87" s="5"/>
      <c r="J87" s="4" t="s">
        <v>1005</v>
      </c>
      <c r="K87" s="4" t="s">
        <v>925</v>
      </c>
      <c r="L87" s="4" t="s">
        <v>611</v>
      </c>
      <c r="M87" s="4" t="s">
        <v>979</v>
      </c>
      <c r="N87" s="4"/>
      <c r="O87" s="4" t="s">
        <v>979</v>
      </c>
      <c r="P87" s="4" t="s">
        <v>979</v>
      </c>
    </row>
    <row r="88" customFormat="false" ht="15" hidden="false" customHeight="false" outlineLevel="0" collapsed="false">
      <c r="A88" s="4" t="s">
        <v>640</v>
      </c>
      <c r="B88" s="4" t="n">
        <v>72</v>
      </c>
      <c r="C88" s="4" t="s">
        <v>1070</v>
      </c>
      <c r="D88" s="4"/>
      <c r="E88" s="4" t="n">
        <v>0</v>
      </c>
      <c r="F88" s="4" t="n">
        <v>29</v>
      </c>
      <c r="G88" s="4" t="n">
        <v>11</v>
      </c>
      <c r="H88" s="4" t="s">
        <v>976</v>
      </c>
      <c r="I88" s="5"/>
      <c r="J88" s="4" t="s">
        <v>1005</v>
      </c>
      <c r="K88" s="4" t="s">
        <v>925</v>
      </c>
      <c r="L88" s="4" t="s">
        <v>611</v>
      </c>
      <c r="M88" s="4" t="s">
        <v>979</v>
      </c>
      <c r="N88" s="4"/>
      <c r="O88" s="4" t="s">
        <v>979</v>
      </c>
      <c r="P88" s="4" t="s">
        <v>979</v>
      </c>
    </row>
    <row r="89" customFormat="false" ht="15" hidden="false" customHeight="false" outlineLevel="0" collapsed="false">
      <c r="A89" s="4" t="s">
        <v>640</v>
      </c>
      <c r="B89" s="4" t="n">
        <v>72</v>
      </c>
      <c r="C89" s="4" t="s">
        <v>1071</v>
      </c>
      <c r="D89" s="4"/>
      <c r="E89" s="4" t="n">
        <v>0</v>
      </c>
      <c r="F89" s="4" t="n">
        <v>10</v>
      </c>
      <c r="G89" s="4" t="n">
        <v>0</v>
      </c>
      <c r="H89" s="4" t="s">
        <v>976</v>
      </c>
      <c r="I89" s="5"/>
      <c r="J89" s="4" t="s">
        <v>1005</v>
      </c>
      <c r="K89" s="4" t="s">
        <v>925</v>
      </c>
      <c r="L89" s="4" t="s">
        <v>611</v>
      </c>
      <c r="M89" s="4" t="s">
        <v>979</v>
      </c>
      <c r="N89" s="4"/>
      <c r="O89" s="4" t="s">
        <v>979</v>
      </c>
      <c r="P89" s="4" t="s">
        <v>979</v>
      </c>
    </row>
    <row r="90" customFormat="false" ht="15" hidden="false" customHeight="false" outlineLevel="0" collapsed="false">
      <c r="A90" s="4" t="s">
        <v>640</v>
      </c>
      <c r="B90" s="4" t="n">
        <v>72</v>
      </c>
      <c r="C90" s="4" t="s">
        <v>1072</v>
      </c>
      <c r="D90" s="4"/>
      <c r="E90" s="4" t="n">
        <v>0</v>
      </c>
      <c r="F90" s="4" t="n">
        <v>8</v>
      </c>
      <c r="G90" s="4" t="n">
        <v>0</v>
      </c>
      <c r="H90" s="4" t="s">
        <v>976</v>
      </c>
      <c r="I90" s="5"/>
      <c r="J90" s="4" t="s">
        <v>1005</v>
      </c>
      <c r="K90" s="4" t="s">
        <v>925</v>
      </c>
      <c r="L90" s="4" t="s">
        <v>611</v>
      </c>
      <c r="M90" s="4" t="s">
        <v>979</v>
      </c>
      <c r="N90" s="4"/>
      <c r="O90" s="4" t="s">
        <v>979</v>
      </c>
      <c r="P90" s="4" t="s">
        <v>979</v>
      </c>
    </row>
    <row r="91" customFormat="false" ht="15" hidden="false" customHeight="false" outlineLevel="0" collapsed="false">
      <c r="A91" s="4" t="s">
        <v>640</v>
      </c>
      <c r="B91" s="4" t="n">
        <v>72</v>
      </c>
      <c r="C91" s="4" t="s">
        <v>1073</v>
      </c>
      <c r="D91" s="4"/>
      <c r="E91" s="4" t="n">
        <v>0</v>
      </c>
      <c r="F91" s="4" t="n">
        <v>15</v>
      </c>
      <c r="G91" s="4" t="n">
        <v>0</v>
      </c>
      <c r="H91" s="4" t="s">
        <v>976</v>
      </c>
      <c r="I91" s="5"/>
      <c r="J91" s="4" t="s">
        <v>1005</v>
      </c>
      <c r="K91" s="4" t="s">
        <v>925</v>
      </c>
      <c r="L91" s="4" t="s">
        <v>611</v>
      </c>
      <c r="M91" s="4" t="s">
        <v>979</v>
      </c>
      <c r="N91" s="4"/>
      <c r="O91" s="4" t="s">
        <v>979</v>
      </c>
      <c r="P91" s="4" t="s">
        <v>979</v>
      </c>
    </row>
    <row r="92" customFormat="false" ht="15" hidden="false" customHeight="false" outlineLevel="0" collapsed="false">
      <c r="A92" s="4" t="s">
        <v>640</v>
      </c>
      <c r="B92" s="4" t="n">
        <v>72</v>
      </c>
      <c r="C92" s="4" t="s">
        <v>1074</v>
      </c>
      <c r="D92" s="4"/>
      <c r="E92" s="4" t="n">
        <v>0</v>
      </c>
      <c r="F92" s="4" t="n">
        <v>12</v>
      </c>
      <c r="G92" s="4" t="n">
        <v>0</v>
      </c>
      <c r="H92" s="4" t="s">
        <v>976</v>
      </c>
      <c r="I92" s="5"/>
      <c r="J92" s="4" t="s">
        <v>1005</v>
      </c>
      <c r="K92" s="4" t="s">
        <v>925</v>
      </c>
      <c r="L92" s="4" t="s">
        <v>611</v>
      </c>
      <c r="M92" s="4" t="s">
        <v>979</v>
      </c>
      <c r="N92" s="4"/>
      <c r="O92" s="4" t="s">
        <v>979</v>
      </c>
      <c r="P92" s="4" t="s">
        <v>979</v>
      </c>
    </row>
    <row r="93" customFormat="false" ht="15" hidden="false" customHeight="false" outlineLevel="0" collapsed="false">
      <c r="A93" s="4" t="s">
        <v>640</v>
      </c>
      <c r="B93" s="4" t="n">
        <v>72</v>
      </c>
      <c r="C93" s="4" t="s">
        <v>1075</v>
      </c>
      <c r="D93" s="4"/>
      <c r="E93" s="4" t="n">
        <v>0</v>
      </c>
      <c r="F93" s="4" t="n">
        <v>19</v>
      </c>
      <c r="G93" s="4" t="n">
        <v>0</v>
      </c>
      <c r="H93" s="4" t="s">
        <v>976</v>
      </c>
      <c r="I93" s="5"/>
      <c r="J93" s="4" t="s">
        <v>1005</v>
      </c>
      <c r="K93" s="4" t="s">
        <v>925</v>
      </c>
      <c r="L93" s="4" t="s">
        <v>611</v>
      </c>
      <c r="M93" s="4" t="s">
        <v>979</v>
      </c>
      <c r="N93" s="4"/>
      <c r="O93" s="4" t="s">
        <v>979</v>
      </c>
      <c r="P93" s="4" t="s">
        <v>979</v>
      </c>
    </row>
    <row r="94" customFormat="false" ht="15" hidden="false" customHeight="false" outlineLevel="0" collapsed="false">
      <c r="A94" s="4" t="s">
        <v>640</v>
      </c>
      <c r="B94" s="4" t="n">
        <v>72</v>
      </c>
      <c r="C94" s="4" t="s">
        <v>1076</v>
      </c>
      <c r="D94" s="4"/>
      <c r="E94" s="4" t="n">
        <v>0</v>
      </c>
      <c r="F94" s="4" t="n">
        <v>6</v>
      </c>
      <c r="G94" s="4" t="n">
        <v>0</v>
      </c>
      <c r="H94" s="4" t="s">
        <v>976</v>
      </c>
      <c r="I94" s="5"/>
      <c r="J94" s="4" t="s">
        <v>1005</v>
      </c>
      <c r="K94" s="4" t="s">
        <v>925</v>
      </c>
      <c r="L94" s="4" t="s">
        <v>611</v>
      </c>
      <c r="M94" s="4" t="s">
        <v>979</v>
      </c>
      <c r="N94" s="4"/>
      <c r="O94" s="4" t="s">
        <v>979</v>
      </c>
      <c r="P94" s="4" t="s">
        <v>979</v>
      </c>
    </row>
    <row r="95" customFormat="false" ht="15" hidden="false" customHeight="false" outlineLevel="0" collapsed="false">
      <c r="A95" s="4" t="s">
        <v>640</v>
      </c>
      <c r="B95" s="4" t="n">
        <v>72</v>
      </c>
      <c r="C95" s="4" t="s">
        <v>1077</v>
      </c>
      <c r="D95" s="4"/>
      <c r="E95" s="4" t="n">
        <v>0</v>
      </c>
      <c r="F95" s="4" t="n">
        <v>24</v>
      </c>
      <c r="G95" s="4" t="n">
        <v>0</v>
      </c>
      <c r="H95" s="4" t="s">
        <v>976</v>
      </c>
      <c r="I95" s="5"/>
      <c r="J95" s="4" t="s">
        <v>1005</v>
      </c>
      <c r="K95" s="4" t="s">
        <v>925</v>
      </c>
      <c r="L95" s="4" t="s">
        <v>611</v>
      </c>
      <c r="M95" s="4" t="s">
        <v>979</v>
      </c>
      <c r="N95" s="4"/>
      <c r="O95" s="4" t="s">
        <v>979</v>
      </c>
      <c r="P95" s="4" t="s">
        <v>979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38"/>
    <col collapsed="false" customWidth="true" hidden="false" outlineLevel="0" max="4" min="4" style="0" width="22"/>
    <col collapsed="false" customWidth="true" hidden="false" outlineLevel="0" max="7" min="7" style="0" width="22"/>
    <col collapsed="false" customWidth="true" hidden="false" outlineLevel="0" max="8" min="8" style="0" width="110"/>
  </cols>
  <sheetData>
    <row r="1" customFormat="false" ht="15" hidden="false" customHeight="false" outlineLevel="0" collapsed="false">
      <c r="A1" s="3" t="s">
        <v>512</v>
      </c>
      <c r="B1" s="3" t="s">
        <v>886</v>
      </c>
      <c r="C1" s="3" t="s">
        <v>116</v>
      </c>
      <c r="D1" s="3" t="s">
        <v>1078</v>
      </c>
      <c r="E1" s="3" t="s">
        <v>1079</v>
      </c>
      <c r="F1" s="3" t="s">
        <v>1080</v>
      </c>
      <c r="G1" s="3" t="s">
        <v>1081</v>
      </c>
      <c r="H1" s="3" t="s">
        <v>53</v>
      </c>
      <c r="I1" s="3" t="s">
        <v>1082</v>
      </c>
      <c r="J1" s="3" t="s">
        <v>1083</v>
      </c>
    </row>
    <row r="2" customFormat="false" ht="46.25" hidden="false" customHeight="false" outlineLevel="0" collapsed="false">
      <c r="A2" s="7" t="s">
        <v>612</v>
      </c>
      <c r="B2" s="7" t="s">
        <v>607</v>
      </c>
      <c r="C2" s="7" t="s">
        <v>1084</v>
      </c>
      <c r="D2" s="7" t="s">
        <v>1085</v>
      </c>
      <c r="E2" s="7" t="n">
        <v>4</v>
      </c>
      <c r="F2" s="7" t="s">
        <v>919</v>
      </c>
      <c r="G2" s="7" t="s">
        <v>91</v>
      </c>
      <c r="H2" s="9" t="s">
        <v>1086</v>
      </c>
      <c r="I2" s="7" t="n">
        <v>0</v>
      </c>
      <c r="J2" s="7"/>
    </row>
    <row r="3" customFormat="false" ht="57.45" hidden="false" customHeight="false" outlineLevel="0" collapsed="false">
      <c r="A3" s="7" t="s">
        <v>617</v>
      </c>
      <c r="B3" s="7" t="s">
        <v>607</v>
      </c>
      <c r="C3" s="7" t="s">
        <v>1087</v>
      </c>
      <c r="D3" s="7" t="s">
        <v>1088</v>
      </c>
      <c r="E3" s="7" t="n">
        <v>15</v>
      </c>
      <c r="F3" s="7" t="s">
        <v>919</v>
      </c>
      <c r="G3" s="7" t="s">
        <v>91</v>
      </c>
      <c r="H3" s="9" t="s">
        <v>1089</v>
      </c>
      <c r="I3" s="7" t="n">
        <v>0</v>
      </c>
      <c r="J3" s="7" t="s">
        <v>282</v>
      </c>
    </row>
    <row r="4" customFormat="false" ht="46.25" hidden="false" customHeight="false" outlineLevel="0" collapsed="false">
      <c r="A4" s="7" t="s">
        <v>623</v>
      </c>
      <c r="B4" s="7" t="s">
        <v>607</v>
      </c>
      <c r="C4" s="7" t="s">
        <v>1090</v>
      </c>
      <c r="D4" s="7" t="s">
        <v>1091</v>
      </c>
      <c r="E4" s="7" t="n">
        <v>8</v>
      </c>
      <c r="F4" s="7" t="s">
        <v>919</v>
      </c>
      <c r="G4" s="7" t="s">
        <v>178</v>
      </c>
      <c r="H4" s="9" t="s">
        <v>1092</v>
      </c>
      <c r="I4" s="7" t="n">
        <v>0</v>
      </c>
      <c r="J4" s="7"/>
    </row>
    <row r="5" customFormat="false" ht="79.85" hidden="false" customHeight="false" outlineLevel="0" collapsed="false">
      <c r="A5" s="7" t="s">
        <v>647</v>
      </c>
      <c r="B5" s="7" t="s">
        <v>640</v>
      </c>
      <c r="C5" s="7" t="s">
        <v>1090</v>
      </c>
      <c r="D5" s="7" t="s">
        <v>1091</v>
      </c>
      <c r="E5" s="7" t="n">
        <v>8</v>
      </c>
      <c r="F5" s="7" t="s">
        <v>297</v>
      </c>
      <c r="G5" s="7" t="s">
        <v>185</v>
      </c>
      <c r="H5" s="9" t="s">
        <v>1093</v>
      </c>
      <c r="I5" s="7" t="n">
        <v>0</v>
      </c>
      <c r="J5" s="7"/>
    </row>
    <row r="6" customFormat="false" ht="35.05" hidden="false" customHeight="false" outlineLevel="0" collapsed="false">
      <c r="A6" s="7" t="s">
        <v>642</v>
      </c>
      <c r="B6" s="7" t="s">
        <v>640</v>
      </c>
      <c r="C6" s="7" t="s">
        <v>1087</v>
      </c>
      <c r="D6" s="7" t="s">
        <v>1088</v>
      </c>
      <c r="E6" s="7" t="n">
        <v>15</v>
      </c>
      <c r="F6" s="7" t="s">
        <v>919</v>
      </c>
      <c r="G6" s="7" t="s">
        <v>96</v>
      </c>
      <c r="H6" s="9" t="s">
        <v>1094</v>
      </c>
      <c r="I6" s="7" t="n">
        <v>0</v>
      </c>
      <c r="J6" s="7" t="s">
        <v>282</v>
      </c>
    </row>
    <row r="7" customFormat="false" ht="35.05" hidden="false" customHeight="false" outlineLevel="0" collapsed="false">
      <c r="A7" s="7" t="s">
        <v>1095</v>
      </c>
      <c r="B7" s="7" t="s">
        <v>761</v>
      </c>
      <c r="C7" s="7" t="s">
        <v>1096</v>
      </c>
      <c r="D7" s="7" t="s">
        <v>1097</v>
      </c>
      <c r="E7" s="7" t="n">
        <v>7</v>
      </c>
      <c r="F7" s="7" t="s">
        <v>949</v>
      </c>
      <c r="G7" s="7" t="s">
        <v>950</v>
      </c>
      <c r="H7" s="9" t="s">
        <v>1098</v>
      </c>
      <c r="I7" s="7" t="n">
        <v>0</v>
      </c>
      <c r="J7" s="7"/>
    </row>
    <row r="8" customFormat="false" ht="35.05" hidden="false" customHeight="false" outlineLevel="0" collapsed="false">
      <c r="A8" s="7" t="s">
        <v>885</v>
      </c>
      <c r="B8" s="7" t="s">
        <v>607</v>
      </c>
      <c r="C8" s="7" t="s">
        <v>1099</v>
      </c>
      <c r="D8" s="7" t="s">
        <v>1091</v>
      </c>
      <c r="E8" s="7" t="n">
        <v>1</v>
      </c>
      <c r="F8" s="7" t="s">
        <v>919</v>
      </c>
      <c r="G8" s="7" t="s">
        <v>91</v>
      </c>
      <c r="H8" s="9" t="s">
        <v>1100</v>
      </c>
      <c r="I8" s="7" t="n">
        <v>0</v>
      </c>
      <c r="J8" s="7"/>
    </row>
    <row r="9" customFormat="false" ht="35.05" hidden="false" customHeight="false" outlineLevel="0" collapsed="false">
      <c r="A9" s="7" t="s">
        <v>880</v>
      </c>
      <c r="B9" s="7" t="s">
        <v>640</v>
      </c>
      <c r="C9" s="7" t="s">
        <v>1101</v>
      </c>
      <c r="D9" s="7" t="s">
        <v>1102</v>
      </c>
      <c r="E9" s="7" t="n">
        <v>1</v>
      </c>
      <c r="F9" s="7" t="s">
        <v>297</v>
      </c>
      <c r="G9" s="7" t="s">
        <v>96</v>
      </c>
      <c r="H9" s="9" t="s">
        <v>1103</v>
      </c>
      <c r="I9" s="7" t="n">
        <v>0</v>
      </c>
      <c r="J9"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2" style="0" width="40"/>
    <col collapsed="false" customWidth="true" hidden="false" outlineLevel="0" max="6" min="4" style="0" width="26"/>
    <col collapsed="false" customWidth="true" hidden="false" outlineLevel="0" max="7" min="7" style="0" width="14"/>
    <col collapsed="false" customWidth="true" hidden="false" outlineLevel="0" max="9" min="9" style="0" width="40"/>
  </cols>
  <sheetData>
    <row r="1" customFormat="false" ht="15" hidden="false" customHeight="false" outlineLevel="0" collapsed="false">
      <c r="A1" s="3" t="s">
        <v>1104</v>
      </c>
      <c r="B1" s="3" t="s">
        <v>115</v>
      </c>
      <c r="C1" s="3" t="s">
        <v>1105</v>
      </c>
      <c r="D1" s="3" t="s">
        <v>1106</v>
      </c>
      <c r="E1" s="3" t="s">
        <v>1107</v>
      </c>
      <c r="F1" s="3" t="s">
        <v>1108</v>
      </c>
      <c r="G1" s="3" t="s">
        <v>1109</v>
      </c>
      <c r="H1" s="3" t="s">
        <v>1110</v>
      </c>
      <c r="I1" s="3" t="s">
        <v>1111</v>
      </c>
      <c r="J1" s="3" t="s">
        <v>513</v>
      </c>
    </row>
    <row r="2" customFormat="false" ht="15" hidden="false" customHeight="false" outlineLevel="0" collapsed="false">
      <c r="A2" s="7" t="s">
        <v>1112</v>
      </c>
      <c r="B2" s="7" t="s">
        <v>336</v>
      </c>
      <c r="C2" s="8" t="n">
        <v>46227</v>
      </c>
      <c r="D2" s="7" t="s">
        <v>1113</v>
      </c>
      <c r="E2" s="7" t="s">
        <v>1114</v>
      </c>
      <c r="F2" s="7" t="s">
        <v>1115</v>
      </c>
      <c r="G2" s="7" t="s">
        <v>1116</v>
      </c>
      <c r="H2" s="7" t="s">
        <v>1117</v>
      </c>
      <c r="I2" s="7"/>
      <c r="J2" s="7" t="str">
        <f aca="false">IF(COUNTIF(Competitions!A:A,B2)&gt;0,"OK","BROKEN")</f>
        <v>OK</v>
      </c>
    </row>
    <row r="3" customFormat="false" ht="15" hidden="false" customHeight="false" outlineLevel="0" collapsed="false">
      <c r="A3" s="7" t="s">
        <v>1118</v>
      </c>
      <c r="B3" s="7" t="s">
        <v>336</v>
      </c>
      <c r="C3" s="8" t="n">
        <v>46227</v>
      </c>
      <c r="D3" s="7" t="s">
        <v>1119</v>
      </c>
      <c r="E3" s="7" t="s">
        <v>1120</v>
      </c>
      <c r="F3" s="7" t="s">
        <v>1115</v>
      </c>
      <c r="G3" s="7" t="s">
        <v>1116</v>
      </c>
      <c r="H3" s="7" t="s">
        <v>1121</v>
      </c>
      <c r="I3" s="7"/>
      <c r="J3" s="7" t="str">
        <f aca="false">IF(COUNTIF(Competitions!A:A,B3)&gt;0,"OK","BROKEN")</f>
        <v>OK</v>
      </c>
    </row>
    <row r="4" customFormat="false" ht="15" hidden="false" customHeight="false" outlineLevel="0" collapsed="false">
      <c r="A4" s="7" t="s">
        <v>1122</v>
      </c>
      <c r="B4" s="7" t="s">
        <v>336</v>
      </c>
      <c r="C4" s="8" t="n">
        <v>46228</v>
      </c>
      <c r="D4" s="7" t="s">
        <v>1123</v>
      </c>
      <c r="E4" s="7" t="s">
        <v>1124</v>
      </c>
      <c r="F4" s="7" t="s">
        <v>1115</v>
      </c>
      <c r="G4" s="7" t="s">
        <v>1116</v>
      </c>
      <c r="H4" s="7" t="s">
        <v>1117</v>
      </c>
      <c r="I4" s="7"/>
      <c r="J4" s="7" t="str">
        <f aca="false">IF(COUNTIF(Competitions!A:A,B4)&gt;0,"OK","BROKEN")</f>
        <v>OK</v>
      </c>
    </row>
    <row r="5" customFormat="false" ht="15" hidden="false" customHeight="false" outlineLevel="0" collapsed="false">
      <c r="A5" s="7" t="s">
        <v>1125</v>
      </c>
      <c r="B5" s="7" t="s">
        <v>336</v>
      </c>
      <c r="C5" s="8" t="n">
        <v>46228</v>
      </c>
      <c r="D5" s="7" t="s">
        <v>1126</v>
      </c>
      <c r="E5" s="7" t="s">
        <v>1127</v>
      </c>
      <c r="F5" s="7" t="s">
        <v>1115</v>
      </c>
      <c r="G5" s="7" t="s">
        <v>1116</v>
      </c>
      <c r="H5" s="7" t="s">
        <v>1117</v>
      </c>
      <c r="I5" s="7"/>
      <c r="J5" s="7" t="str">
        <f aca="false">IF(COUNTIF(Competitions!A:A,B5)&gt;0,"OK","BROKEN")</f>
        <v>OK</v>
      </c>
    </row>
    <row r="6" customFormat="false" ht="15" hidden="false" customHeight="false" outlineLevel="0" collapsed="false">
      <c r="A6" s="7" t="s">
        <v>1128</v>
      </c>
      <c r="B6" s="7" t="s">
        <v>336</v>
      </c>
      <c r="C6" s="8" t="n">
        <v>46229</v>
      </c>
      <c r="D6" s="7" t="s">
        <v>1129</v>
      </c>
      <c r="E6" s="7" t="s">
        <v>1130</v>
      </c>
      <c r="F6" s="7" t="s">
        <v>1115</v>
      </c>
      <c r="G6" s="7" t="s">
        <v>1116</v>
      </c>
      <c r="H6" s="7" t="s">
        <v>1131</v>
      </c>
      <c r="I6" s="7"/>
      <c r="J6" s="7" t="str">
        <f aca="false">IF(COUNTIF(Competitions!A:A,B6)&gt;0,"OK","BROKEN")</f>
        <v>OK</v>
      </c>
    </row>
    <row r="7" customFormat="false" ht="15" hidden="false" customHeight="false" outlineLevel="0" collapsed="false">
      <c r="A7" s="7" t="s">
        <v>1132</v>
      </c>
      <c r="B7" s="7" t="s">
        <v>336</v>
      </c>
      <c r="C7" s="8" t="n">
        <v>46229</v>
      </c>
      <c r="D7" s="7" t="s">
        <v>1133</v>
      </c>
      <c r="E7" s="7" t="s">
        <v>1134</v>
      </c>
      <c r="F7" s="7" t="s">
        <v>1115</v>
      </c>
      <c r="G7" s="7" t="s">
        <v>1116</v>
      </c>
      <c r="H7" s="7" t="s">
        <v>1135</v>
      </c>
      <c r="I7" s="7"/>
      <c r="J7" s="7" t="str">
        <f aca="false">IF(COUNTIF(Competitions!A:A,B7)&gt;0,"OK","BROKEN")</f>
        <v>OK</v>
      </c>
    </row>
    <row r="8" customFormat="false" ht="15" hidden="false" customHeight="false" outlineLevel="0" collapsed="false">
      <c r="A8" s="7" t="s">
        <v>1136</v>
      </c>
      <c r="B8" s="7" t="s">
        <v>336</v>
      </c>
      <c r="C8" s="8" t="n">
        <v>46230</v>
      </c>
      <c r="D8" s="7" t="s">
        <v>1120</v>
      </c>
      <c r="E8" s="7" t="s">
        <v>1113</v>
      </c>
      <c r="F8" s="7" t="s">
        <v>1137</v>
      </c>
      <c r="G8" s="7" t="s">
        <v>1116</v>
      </c>
      <c r="H8" s="7" t="s">
        <v>1138</v>
      </c>
      <c r="I8" s="7"/>
      <c r="J8" s="7" t="str">
        <f aca="false">IF(COUNTIF(Competitions!A:A,B8)&gt;0,"OK","BROKEN")</f>
        <v>OK</v>
      </c>
    </row>
    <row r="9" customFormat="false" ht="15" hidden="false" customHeight="false" outlineLevel="0" collapsed="false">
      <c r="A9" s="7" t="s">
        <v>1139</v>
      </c>
      <c r="B9" s="7" t="s">
        <v>336</v>
      </c>
      <c r="C9" s="8" t="n">
        <v>46230</v>
      </c>
      <c r="D9" s="7" t="s">
        <v>1114</v>
      </c>
      <c r="E9" s="7" t="s">
        <v>1119</v>
      </c>
      <c r="F9" s="7" t="s">
        <v>1137</v>
      </c>
      <c r="G9" s="7" t="s">
        <v>1116</v>
      </c>
      <c r="H9" s="7" t="s">
        <v>1140</v>
      </c>
      <c r="I9" s="7"/>
      <c r="J9" s="7" t="str">
        <f aca="false">IF(COUNTIF(Competitions!A:A,B9)&gt;0,"OK","BROKEN")</f>
        <v>OK</v>
      </c>
    </row>
    <row r="10" customFormat="false" ht="15" hidden="false" customHeight="false" outlineLevel="0" collapsed="false">
      <c r="A10" s="7" t="s">
        <v>1141</v>
      </c>
      <c r="B10" s="7" t="s">
        <v>336</v>
      </c>
      <c r="C10" s="8" t="n">
        <v>46231</v>
      </c>
      <c r="D10" s="7" t="s">
        <v>1124</v>
      </c>
      <c r="E10" s="7" t="s">
        <v>1126</v>
      </c>
      <c r="F10" s="7" t="s">
        <v>1137</v>
      </c>
      <c r="G10" s="7" t="s">
        <v>1116</v>
      </c>
      <c r="H10" s="7" t="s">
        <v>1142</v>
      </c>
      <c r="I10" s="7"/>
      <c r="J10" s="7" t="str">
        <f aca="false">IF(COUNTIF(Competitions!A:A,B10)&gt;0,"OK","BROKEN")</f>
        <v>OK</v>
      </c>
    </row>
    <row r="11" customFormat="false" ht="15" hidden="false" customHeight="false" outlineLevel="0" collapsed="false">
      <c r="A11" s="7" t="s">
        <v>1143</v>
      </c>
      <c r="B11" s="7" t="s">
        <v>336</v>
      </c>
      <c r="C11" s="8" t="n">
        <v>46231</v>
      </c>
      <c r="D11" s="7" t="s">
        <v>1127</v>
      </c>
      <c r="E11" s="7" t="s">
        <v>1123</v>
      </c>
      <c r="F11" s="7" t="s">
        <v>1137</v>
      </c>
      <c r="G11" s="7" t="s">
        <v>1116</v>
      </c>
      <c r="H11" s="7" t="s">
        <v>1135</v>
      </c>
      <c r="I11" s="7"/>
      <c r="J11" s="7" t="str">
        <f aca="false">IF(COUNTIF(Competitions!A:A,B11)&gt;0,"OK","BROKEN")</f>
        <v>OK</v>
      </c>
    </row>
    <row r="12" customFormat="false" ht="15" hidden="false" customHeight="false" outlineLevel="0" collapsed="false">
      <c r="A12" s="7" t="s">
        <v>1144</v>
      </c>
      <c r="B12" s="7" t="s">
        <v>336</v>
      </c>
      <c r="C12" s="8" t="n">
        <v>46232</v>
      </c>
      <c r="D12" s="7" t="s">
        <v>1130</v>
      </c>
      <c r="E12" s="7" t="s">
        <v>1133</v>
      </c>
      <c r="F12" s="7" t="s">
        <v>1137</v>
      </c>
      <c r="G12" s="7" t="s">
        <v>1116</v>
      </c>
      <c r="H12" s="7" t="s">
        <v>1145</v>
      </c>
      <c r="I12" s="7"/>
      <c r="J12" s="7" t="str">
        <f aca="false">IF(COUNTIF(Competitions!A:A,B12)&gt;0,"OK","BROKEN")</f>
        <v>OK</v>
      </c>
    </row>
    <row r="13" customFormat="false" ht="15" hidden="false" customHeight="false" outlineLevel="0" collapsed="false">
      <c r="A13" s="7" t="s">
        <v>1146</v>
      </c>
      <c r="B13" s="7" t="s">
        <v>336</v>
      </c>
      <c r="C13" s="8" t="n">
        <v>46232.875</v>
      </c>
      <c r="D13" s="7" t="s">
        <v>1134</v>
      </c>
      <c r="E13" s="7" t="s">
        <v>1129</v>
      </c>
      <c r="F13" s="7" t="s">
        <v>1137</v>
      </c>
      <c r="G13" s="7" t="s">
        <v>1116</v>
      </c>
      <c r="H13" s="7" t="s">
        <v>1147</v>
      </c>
      <c r="I13" s="7" t="s">
        <v>1148</v>
      </c>
      <c r="J13" s="7" t="str">
        <f aca="false">IF(COUNTIF(Competitions!A:A,B13)&gt;0,"OK","BROKEN")</f>
        <v>OK</v>
      </c>
    </row>
    <row r="14" customFormat="false" ht="15" hidden="false" customHeight="false" outlineLevel="0" collapsed="false">
      <c r="A14" s="7" t="s">
        <v>1149</v>
      </c>
      <c r="B14" s="7" t="s">
        <v>358</v>
      </c>
      <c r="C14" s="8" t="n">
        <v>46233.125</v>
      </c>
      <c r="D14" s="7" t="s">
        <v>1022</v>
      </c>
      <c r="E14" s="7" t="s">
        <v>282</v>
      </c>
      <c r="F14" s="7" t="s">
        <v>1150</v>
      </c>
      <c r="G14" s="7" t="s">
        <v>914</v>
      </c>
      <c r="H14" s="7"/>
      <c r="I14" s="7" t="s">
        <v>1151</v>
      </c>
      <c r="J14" s="7" t="str">
        <f aca="false">IF(COUNTIF(Competitions!A:A,B14)&gt;0,"OK","BROKEN")</f>
        <v>OK</v>
      </c>
    </row>
    <row r="15" customFormat="false" ht="15" hidden="false" customHeight="false" outlineLevel="0" collapsed="false">
      <c r="A15" s="7" t="s">
        <v>1152</v>
      </c>
      <c r="B15" s="7" t="s">
        <v>321</v>
      </c>
      <c r="C15" s="8" t="n">
        <v>46233.1666666667</v>
      </c>
      <c r="D15" s="7" t="s">
        <v>1051</v>
      </c>
      <c r="E15" s="7" t="s">
        <v>1153</v>
      </c>
      <c r="F15" s="7" t="s">
        <v>1150</v>
      </c>
      <c r="G15" s="7" t="s">
        <v>914</v>
      </c>
      <c r="H15" s="7"/>
      <c r="I15" s="7" t="s">
        <v>1154</v>
      </c>
      <c r="J15" s="7" t="str">
        <f aca="false">IF(COUNTIF(Competitions!A:A,B15)&gt;0,"OK","BROKEN")</f>
        <v>OK</v>
      </c>
    </row>
    <row r="16" customFormat="false" ht="15" hidden="false" customHeight="false" outlineLevel="0" collapsed="false">
      <c r="A16" s="7" t="s">
        <v>1155</v>
      </c>
      <c r="B16" s="7" t="s">
        <v>326</v>
      </c>
      <c r="C16" s="8" t="n">
        <v>46233.1875</v>
      </c>
      <c r="D16" s="7" t="s">
        <v>1058</v>
      </c>
      <c r="E16" s="7" t="s">
        <v>999</v>
      </c>
      <c r="F16" s="7" t="s">
        <v>1150</v>
      </c>
      <c r="G16" s="7" t="s">
        <v>914</v>
      </c>
      <c r="H16" s="7"/>
      <c r="I16" s="7" t="s">
        <v>1156</v>
      </c>
      <c r="J16" s="7" t="str">
        <f aca="false">IF(COUNTIF(Competitions!A:A,B16)&gt;0,"OK","BROKEN")</f>
        <v>OK</v>
      </c>
    </row>
    <row r="17" customFormat="false" ht="15" hidden="false" customHeight="false" outlineLevel="0" collapsed="false">
      <c r="A17" s="7" t="s">
        <v>1157</v>
      </c>
      <c r="B17" s="7" t="s">
        <v>358</v>
      </c>
      <c r="C17" s="8" t="n">
        <v>46233.3125</v>
      </c>
      <c r="D17" s="7" t="s">
        <v>1158</v>
      </c>
      <c r="E17" s="7" t="s">
        <v>1159</v>
      </c>
      <c r="F17" s="7" t="s">
        <v>1150</v>
      </c>
      <c r="G17" s="7" t="s">
        <v>914</v>
      </c>
      <c r="H17" s="7"/>
      <c r="I17" s="7" t="s">
        <v>1151</v>
      </c>
      <c r="J17" s="7" t="str">
        <f aca="false">IF(COUNTIF(Competitions!A:A,B17)&gt;0,"OK","BROKEN")</f>
        <v>OK</v>
      </c>
    </row>
    <row r="18" customFormat="false" ht="15" hidden="false" customHeight="false" outlineLevel="0" collapsed="false">
      <c r="A18" s="7" t="s">
        <v>1160</v>
      </c>
      <c r="B18" s="7" t="s">
        <v>326</v>
      </c>
      <c r="C18" s="8" t="n">
        <v>46233.3541666667</v>
      </c>
      <c r="D18" s="7" t="s">
        <v>1159</v>
      </c>
      <c r="E18" s="7" t="s">
        <v>1161</v>
      </c>
      <c r="F18" s="7" t="s">
        <v>1150</v>
      </c>
      <c r="G18" s="7" t="s">
        <v>914</v>
      </c>
      <c r="H18" s="7"/>
      <c r="I18" s="7" t="s">
        <v>1156</v>
      </c>
      <c r="J18" s="7" t="str">
        <f aca="false">IF(COUNTIF(Competitions!A:A,B18)&gt;0,"OK","BROKEN")</f>
        <v>OK</v>
      </c>
    </row>
    <row r="19" customFormat="false" ht="15" hidden="false" customHeight="false" outlineLevel="0" collapsed="false">
      <c r="A19" s="7" t="s">
        <v>1162</v>
      </c>
      <c r="B19" s="7" t="s">
        <v>321</v>
      </c>
      <c r="C19" s="8" t="n">
        <v>46233.4166666667</v>
      </c>
      <c r="D19" s="7" t="s">
        <v>1062</v>
      </c>
      <c r="E19" s="7" t="s">
        <v>1075</v>
      </c>
      <c r="F19" s="7" t="s">
        <v>1150</v>
      </c>
      <c r="G19" s="7" t="s">
        <v>914</v>
      </c>
      <c r="H19" s="7"/>
      <c r="I19" s="7" t="s">
        <v>1154</v>
      </c>
      <c r="J19" s="7" t="str">
        <f aca="false">IF(COUNTIF(Competitions!A:A,B19)&gt;0,"OK","BROKEN")</f>
        <v>OK</v>
      </c>
    </row>
    <row r="20" customFormat="false" ht="15" hidden="false" customHeight="false" outlineLevel="0" collapsed="false">
      <c r="A20" s="7" t="s">
        <v>1163</v>
      </c>
      <c r="B20" s="7" t="s">
        <v>334</v>
      </c>
      <c r="C20" s="8" t="n">
        <v>46233.4166666667</v>
      </c>
      <c r="D20" s="7" t="s">
        <v>1164</v>
      </c>
      <c r="E20" s="7" t="s">
        <v>1165</v>
      </c>
      <c r="F20" s="7" t="s">
        <v>1150</v>
      </c>
      <c r="G20" s="7" t="s">
        <v>914</v>
      </c>
      <c r="H20" s="7"/>
      <c r="I20" s="7" t="s">
        <v>1166</v>
      </c>
      <c r="J20" s="7" t="str">
        <f aca="false">IF(COUNTIF(Competitions!A:A,B20)&gt;0,"OK","BROKEN")</f>
        <v>OK</v>
      </c>
    </row>
    <row r="21" customFormat="false" ht="15" hidden="false" customHeight="false" outlineLevel="0" collapsed="false">
      <c r="A21" s="7" t="s">
        <v>1167</v>
      </c>
      <c r="B21" s="7" t="s">
        <v>334</v>
      </c>
      <c r="C21" s="8" t="n">
        <v>46233.5</v>
      </c>
      <c r="D21" s="7" t="s">
        <v>1168</v>
      </c>
      <c r="E21" s="7" t="s">
        <v>1169</v>
      </c>
      <c r="F21" s="7" t="s">
        <v>1150</v>
      </c>
      <c r="G21" s="7" t="s">
        <v>914</v>
      </c>
      <c r="H21" s="7"/>
      <c r="I21" s="7" t="s">
        <v>1166</v>
      </c>
      <c r="J21" s="7" t="str">
        <f aca="false">IF(COUNTIF(Competitions!A:A,B21)&gt;0,"OK","BROKEN")</f>
        <v>OK</v>
      </c>
    </row>
    <row r="22" customFormat="false" ht="15" hidden="false" customHeight="false" outlineLevel="0" collapsed="false">
      <c r="A22" s="7" t="s">
        <v>1170</v>
      </c>
      <c r="B22" s="7" t="s">
        <v>326</v>
      </c>
      <c r="C22" s="8" t="n">
        <v>46233.5208333333</v>
      </c>
      <c r="D22" s="7" t="s">
        <v>1158</v>
      </c>
      <c r="E22" s="7" t="s">
        <v>1171</v>
      </c>
      <c r="F22" s="7" t="s">
        <v>1150</v>
      </c>
      <c r="G22" s="7" t="s">
        <v>914</v>
      </c>
      <c r="H22" s="7"/>
      <c r="I22" s="7" t="s">
        <v>1156</v>
      </c>
      <c r="J22" s="7" t="str">
        <f aca="false">IF(COUNTIF(Competitions!A:A,B22)&gt;0,"OK","BROKEN")</f>
        <v>OK</v>
      </c>
    </row>
    <row r="23" customFormat="false" ht="15" hidden="false" customHeight="false" outlineLevel="0" collapsed="false">
      <c r="A23" s="7" t="s">
        <v>1172</v>
      </c>
      <c r="B23" s="7" t="s">
        <v>334</v>
      </c>
      <c r="C23" s="8" t="n">
        <v>46233.5833333333</v>
      </c>
      <c r="D23" s="7" t="s">
        <v>1173</v>
      </c>
      <c r="E23" s="7" t="s">
        <v>1174</v>
      </c>
      <c r="F23" s="7" t="s">
        <v>1150</v>
      </c>
      <c r="G23" s="7" t="s">
        <v>914</v>
      </c>
      <c r="H23" s="7"/>
      <c r="I23" s="7" t="s">
        <v>1166</v>
      </c>
      <c r="J23" s="7" t="str">
        <f aca="false">IF(COUNTIF(Competitions!A:A,B23)&gt;0,"OK","BROKEN")</f>
        <v>OK</v>
      </c>
    </row>
    <row r="24" customFormat="false" ht="15" hidden="false" customHeight="false" outlineLevel="0" collapsed="false">
      <c r="A24" s="7" t="s">
        <v>1175</v>
      </c>
      <c r="B24" s="7" t="s">
        <v>334</v>
      </c>
      <c r="C24" s="8" t="n">
        <v>46233.6666666667</v>
      </c>
      <c r="D24" s="7" t="s">
        <v>1176</v>
      </c>
      <c r="E24" s="7" t="s">
        <v>1177</v>
      </c>
      <c r="F24" s="7" t="s">
        <v>1150</v>
      </c>
      <c r="G24" s="7" t="s">
        <v>914</v>
      </c>
      <c r="H24" s="7"/>
      <c r="I24" s="7" t="s">
        <v>1166</v>
      </c>
      <c r="J24" s="7" t="str">
        <f aca="false">IF(COUNTIF(Competitions!A:A,B24)&gt;0,"OK","BROKEN")</f>
        <v>OK</v>
      </c>
    </row>
    <row r="25" customFormat="false" ht="15" hidden="false" customHeight="false" outlineLevel="0" collapsed="false">
      <c r="A25" s="7" t="s">
        <v>1178</v>
      </c>
      <c r="B25" s="7" t="s">
        <v>336</v>
      </c>
      <c r="C25" s="8" t="n">
        <v>46233.75</v>
      </c>
      <c r="D25" s="7" t="s">
        <v>1120</v>
      </c>
      <c r="E25" s="7" t="s">
        <v>1114</v>
      </c>
      <c r="F25" s="7" t="s">
        <v>1179</v>
      </c>
      <c r="G25" s="7" t="s">
        <v>1116</v>
      </c>
      <c r="H25" s="7" t="s">
        <v>1180</v>
      </c>
      <c r="I25" s="7" t="s">
        <v>1181</v>
      </c>
      <c r="J25" s="7" t="str">
        <f aca="false">IF(COUNTIF(Competitions!A:A,B25)&gt;0,"OK","BROKEN")</f>
        <v>OK</v>
      </c>
    </row>
    <row r="26" customFormat="false" ht="15" hidden="false" customHeight="false" outlineLevel="0" collapsed="false">
      <c r="A26" s="7" t="s">
        <v>1182</v>
      </c>
      <c r="B26" s="7" t="s">
        <v>336</v>
      </c>
      <c r="C26" s="8" t="n">
        <v>46233.875</v>
      </c>
      <c r="D26" s="7" t="s">
        <v>1113</v>
      </c>
      <c r="E26" s="7" t="s">
        <v>1119</v>
      </c>
      <c r="F26" s="7" t="s">
        <v>1179</v>
      </c>
      <c r="G26" s="7" t="s">
        <v>1116</v>
      </c>
      <c r="H26" s="7" t="s">
        <v>1183</v>
      </c>
      <c r="I26" s="7" t="s">
        <v>1148</v>
      </c>
      <c r="J26" s="7" t="str">
        <f aca="false">IF(COUNTIF(Competitions!A:A,B26)&gt;0,"OK","BROKEN")</f>
        <v>OK</v>
      </c>
    </row>
    <row r="27" customFormat="false" ht="15" hidden="false" customHeight="false" outlineLevel="0" collapsed="false">
      <c r="A27" s="7" t="s">
        <v>1184</v>
      </c>
      <c r="B27" s="7" t="s">
        <v>475</v>
      </c>
      <c r="C27" s="8" t="n">
        <v>46234.0208333333</v>
      </c>
      <c r="D27" s="7" t="s">
        <v>1185</v>
      </c>
      <c r="E27" s="7" t="s">
        <v>1186</v>
      </c>
      <c r="F27" s="7" t="s">
        <v>1187</v>
      </c>
      <c r="G27" s="7" t="s">
        <v>914</v>
      </c>
      <c r="H27" s="7"/>
      <c r="I27" s="7" t="s">
        <v>1188</v>
      </c>
      <c r="J27" s="7" t="str">
        <f aca="false">IF(COUNTIF(Competitions!A:A,B27)&gt;0,"OK","BROKEN")</f>
        <v>OK</v>
      </c>
    </row>
    <row r="28" customFormat="false" ht="15" hidden="false" customHeight="false" outlineLevel="0" collapsed="false">
      <c r="A28" s="7" t="s">
        <v>1189</v>
      </c>
      <c r="B28" s="7" t="s">
        <v>321</v>
      </c>
      <c r="C28" s="8" t="n">
        <v>46234.1666666667</v>
      </c>
      <c r="D28" s="7" t="s">
        <v>1153</v>
      </c>
      <c r="E28" s="7" t="s">
        <v>1057</v>
      </c>
      <c r="F28" s="7" t="s">
        <v>1150</v>
      </c>
      <c r="G28" s="7" t="s">
        <v>914</v>
      </c>
      <c r="H28" s="7"/>
      <c r="I28" s="7" t="s">
        <v>1154</v>
      </c>
      <c r="J28" s="7" t="str">
        <f aca="false">IF(COUNTIF(Competitions!A:A,B28)&gt;0,"OK","BROKEN")</f>
        <v>OK</v>
      </c>
    </row>
    <row r="29" customFormat="false" ht="15" hidden="false" customHeight="false" outlineLevel="0" collapsed="false">
      <c r="A29" s="7" t="s">
        <v>1190</v>
      </c>
      <c r="B29" s="7" t="s">
        <v>326</v>
      </c>
      <c r="C29" s="8" t="n">
        <v>46234.1875</v>
      </c>
      <c r="D29" s="7" t="s">
        <v>1171</v>
      </c>
      <c r="E29" s="7" t="s">
        <v>1159</v>
      </c>
      <c r="F29" s="7" t="s">
        <v>1150</v>
      </c>
      <c r="G29" s="7" t="s">
        <v>914</v>
      </c>
      <c r="H29" s="7"/>
      <c r="I29" s="7" t="s">
        <v>1156</v>
      </c>
      <c r="J29" s="7" t="str">
        <f aca="false">IF(COUNTIF(Competitions!A:A,B29)&gt;0,"OK","BROKEN")</f>
        <v>OK</v>
      </c>
    </row>
    <row r="30" customFormat="false" ht="15" hidden="false" customHeight="false" outlineLevel="0" collapsed="false">
      <c r="A30" s="7" t="s">
        <v>1191</v>
      </c>
      <c r="B30" s="7" t="s">
        <v>326</v>
      </c>
      <c r="C30" s="8" t="n">
        <v>46234.3541666667</v>
      </c>
      <c r="D30" s="7" t="s">
        <v>1161</v>
      </c>
      <c r="E30" s="7" t="s">
        <v>1058</v>
      </c>
      <c r="F30" s="7" t="s">
        <v>1150</v>
      </c>
      <c r="G30" s="7" t="s">
        <v>914</v>
      </c>
      <c r="H30" s="7"/>
      <c r="I30" s="7" t="s">
        <v>1156</v>
      </c>
      <c r="J30" s="7" t="str">
        <f aca="false">IF(COUNTIF(Competitions!A:A,B30)&gt;0,"OK","BROKEN")</f>
        <v>OK</v>
      </c>
    </row>
    <row r="31" customFormat="false" ht="15" hidden="false" customHeight="false" outlineLevel="0" collapsed="false">
      <c r="A31" s="7" t="s">
        <v>1192</v>
      </c>
      <c r="B31" s="7" t="s">
        <v>329</v>
      </c>
      <c r="C31" s="8" t="n">
        <v>46234.4166666667</v>
      </c>
      <c r="D31" s="7" t="s">
        <v>1168</v>
      </c>
      <c r="E31" s="7" t="s">
        <v>1174</v>
      </c>
      <c r="F31" s="7" t="s">
        <v>1150</v>
      </c>
      <c r="G31" s="7" t="s">
        <v>914</v>
      </c>
      <c r="H31" s="7"/>
      <c r="I31" s="7" t="s">
        <v>1193</v>
      </c>
      <c r="J31" s="7" t="str">
        <f aca="false">IF(COUNTIF(Competitions!A:A,B31)&gt;0,"OK","BROKEN")</f>
        <v>OK</v>
      </c>
    </row>
    <row r="32" customFormat="false" ht="15" hidden="false" customHeight="false" outlineLevel="0" collapsed="false">
      <c r="A32" s="7" t="s">
        <v>1194</v>
      </c>
      <c r="B32" s="7" t="s">
        <v>321</v>
      </c>
      <c r="C32" s="8" t="n">
        <v>46234.4166666667</v>
      </c>
      <c r="D32" s="7" t="s">
        <v>1075</v>
      </c>
      <c r="E32" s="7" t="s">
        <v>1051</v>
      </c>
      <c r="F32" s="7" t="s">
        <v>1150</v>
      </c>
      <c r="G32" s="7" t="s">
        <v>914</v>
      </c>
      <c r="H32" s="7"/>
      <c r="I32" s="7" t="s">
        <v>1154</v>
      </c>
      <c r="J32" s="7" t="str">
        <f aca="false">IF(COUNTIF(Competitions!A:A,B32)&gt;0,"OK","BROKEN")</f>
        <v>OK</v>
      </c>
    </row>
    <row r="33" customFormat="false" ht="15" hidden="false" customHeight="false" outlineLevel="0" collapsed="false">
      <c r="A33" s="7" t="s">
        <v>1195</v>
      </c>
      <c r="B33" s="7" t="s">
        <v>329</v>
      </c>
      <c r="C33" s="8" t="n">
        <v>46234.5</v>
      </c>
      <c r="D33" s="7" t="s">
        <v>1169</v>
      </c>
      <c r="E33" s="7" t="s">
        <v>1173</v>
      </c>
      <c r="F33" s="7" t="s">
        <v>1150</v>
      </c>
      <c r="G33" s="7" t="s">
        <v>914</v>
      </c>
      <c r="H33" s="7"/>
      <c r="I33" s="7" t="s">
        <v>1193</v>
      </c>
      <c r="J33" s="7" t="str">
        <f aca="false">IF(COUNTIF(Competitions!A:A,B33)&gt;0,"OK","BROKEN")</f>
        <v>OK</v>
      </c>
    </row>
    <row r="34" customFormat="false" ht="15" hidden="false" customHeight="false" outlineLevel="0" collapsed="false">
      <c r="A34" s="7" t="s">
        <v>1196</v>
      </c>
      <c r="B34" s="7" t="s">
        <v>326</v>
      </c>
      <c r="C34" s="8" t="n">
        <v>46234.5208333333</v>
      </c>
      <c r="D34" s="7" t="s">
        <v>999</v>
      </c>
      <c r="E34" s="7" t="s">
        <v>1158</v>
      </c>
      <c r="F34" s="7" t="s">
        <v>1150</v>
      </c>
      <c r="G34" s="7" t="s">
        <v>914</v>
      </c>
      <c r="H34" s="7"/>
      <c r="I34" s="7" t="s">
        <v>1156</v>
      </c>
      <c r="J34" s="7" t="str">
        <f aca="false">IF(COUNTIF(Competitions!A:A,B34)&gt;0,"OK","BROKEN")</f>
        <v>OK</v>
      </c>
    </row>
    <row r="35" customFormat="false" ht="15" hidden="false" customHeight="false" outlineLevel="0" collapsed="false">
      <c r="A35" s="7" t="s">
        <v>1197</v>
      </c>
      <c r="B35" s="7" t="s">
        <v>329</v>
      </c>
      <c r="C35" s="8" t="n">
        <v>46234.5833333333</v>
      </c>
      <c r="D35" s="7" t="s">
        <v>1198</v>
      </c>
      <c r="E35" s="7" t="s">
        <v>1199</v>
      </c>
      <c r="F35" s="7" t="s">
        <v>1150</v>
      </c>
      <c r="G35" s="7" t="s">
        <v>914</v>
      </c>
      <c r="H35" s="7"/>
      <c r="I35" s="7" t="s">
        <v>1193</v>
      </c>
      <c r="J35" s="7" t="str">
        <f aca="false">IF(COUNTIF(Competitions!A:A,B35)&gt;0,"OK","BROKEN")</f>
        <v>OK</v>
      </c>
    </row>
    <row r="36" customFormat="false" ht="15" hidden="false" customHeight="false" outlineLevel="0" collapsed="false">
      <c r="A36" s="7" t="s">
        <v>1200</v>
      </c>
      <c r="B36" s="7" t="s">
        <v>329</v>
      </c>
      <c r="C36" s="8" t="n">
        <v>46234.6666666667</v>
      </c>
      <c r="D36" s="7" t="s">
        <v>1176</v>
      </c>
      <c r="E36" s="7" t="s">
        <v>1164</v>
      </c>
      <c r="F36" s="7" t="s">
        <v>1150</v>
      </c>
      <c r="G36" s="7" t="s">
        <v>914</v>
      </c>
      <c r="H36" s="7"/>
      <c r="I36" s="7" t="s">
        <v>1193</v>
      </c>
      <c r="J36" s="7" t="str">
        <f aca="false">IF(COUNTIF(Competitions!A:A,B36)&gt;0,"OK","BROKEN")</f>
        <v>OK</v>
      </c>
    </row>
    <row r="37" customFormat="false" ht="15" hidden="false" customHeight="false" outlineLevel="0" collapsed="false">
      <c r="A37" s="7" t="s">
        <v>1201</v>
      </c>
      <c r="B37" s="7" t="s">
        <v>336</v>
      </c>
      <c r="C37" s="8" t="n">
        <v>46234.7083333333</v>
      </c>
      <c r="D37" s="7" t="s">
        <v>1127</v>
      </c>
      <c r="E37" s="7" t="s">
        <v>1124</v>
      </c>
      <c r="F37" s="7" t="s">
        <v>1179</v>
      </c>
      <c r="G37" s="7" t="s">
        <v>1116</v>
      </c>
      <c r="H37" s="7" t="s">
        <v>1131</v>
      </c>
      <c r="I37" s="7" t="s">
        <v>1181</v>
      </c>
      <c r="J37" s="7" t="str">
        <f aca="false">IF(COUNTIF(Competitions!A:A,B37)&gt;0,"OK","BROKEN")</f>
        <v>OK</v>
      </c>
    </row>
    <row r="38" customFormat="false" ht="15" hidden="false" customHeight="false" outlineLevel="0" collapsed="false">
      <c r="A38" s="7" t="s">
        <v>1202</v>
      </c>
      <c r="B38" s="7" t="s">
        <v>342</v>
      </c>
      <c r="C38" s="8" t="n">
        <v>46234.8958333333</v>
      </c>
      <c r="D38" s="7" t="s">
        <v>1203</v>
      </c>
      <c r="E38" s="7" t="s">
        <v>1018</v>
      </c>
      <c r="F38" s="7" t="s">
        <v>1150</v>
      </c>
      <c r="G38" s="7" t="s">
        <v>914</v>
      </c>
      <c r="H38" s="7"/>
      <c r="I38" s="7" t="s">
        <v>1204</v>
      </c>
      <c r="J38" s="7" t="str">
        <f aca="false">IF(COUNTIF(Competitions!A:A,B38)&gt;0,"OK","BROKEN")</f>
        <v>OK</v>
      </c>
    </row>
    <row r="39" customFormat="false" ht="15" hidden="false" customHeight="false" outlineLevel="0" collapsed="false">
      <c r="A39" s="7" t="s">
        <v>1205</v>
      </c>
      <c r="B39" s="7" t="s">
        <v>342</v>
      </c>
      <c r="C39" s="8" t="n">
        <v>46234.9131944445</v>
      </c>
      <c r="D39" s="7" t="s">
        <v>1069</v>
      </c>
      <c r="E39" s="7" t="s">
        <v>1206</v>
      </c>
      <c r="F39" s="7" t="s">
        <v>1150</v>
      </c>
      <c r="G39" s="7" t="s">
        <v>914</v>
      </c>
      <c r="H39" s="7"/>
      <c r="I39" s="7" t="s">
        <v>1204</v>
      </c>
      <c r="J39" s="7" t="str">
        <f aca="false">IF(COUNTIF(Competitions!A:A,B39)&gt;0,"OK","BROKEN")</f>
        <v>OK</v>
      </c>
    </row>
    <row r="40" customFormat="false" ht="15" hidden="false" customHeight="false" outlineLevel="0" collapsed="false">
      <c r="A40" s="7" t="s">
        <v>1207</v>
      </c>
      <c r="B40" s="7" t="s">
        <v>336</v>
      </c>
      <c r="C40" s="8" t="n">
        <v>46234.9166666667</v>
      </c>
      <c r="D40" s="7" t="s">
        <v>1123</v>
      </c>
      <c r="E40" s="7" t="s">
        <v>1126</v>
      </c>
      <c r="F40" s="7" t="s">
        <v>1179</v>
      </c>
      <c r="G40" s="7" t="s">
        <v>1116</v>
      </c>
      <c r="H40" s="7" t="s">
        <v>1208</v>
      </c>
      <c r="I40" s="7" t="s">
        <v>1181</v>
      </c>
      <c r="J40" s="7" t="str">
        <f aca="false">IF(COUNTIF(Competitions!A:A,B40)&gt;0,"OK","BROKEN")</f>
        <v>OK</v>
      </c>
    </row>
    <row r="41" customFormat="false" ht="15" hidden="false" customHeight="false" outlineLevel="0" collapsed="false">
      <c r="A41" s="7" t="s">
        <v>1209</v>
      </c>
      <c r="B41" s="7" t="s">
        <v>342</v>
      </c>
      <c r="C41" s="8" t="n">
        <v>46234.9305555556</v>
      </c>
      <c r="D41" s="7" t="s">
        <v>1210</v>
      </c>
      <c r="E41" s="7" t="s">
        <v>1018</v>
      </c>
      <c r="F41" s="7" t="s">
        <v>1150</v>
      </c>
      <c r="G41" s="7" t="s">
        <v>914</v>
      </c>
      <c r="H41" s="7"/>
      <c r="I41" s="7" t="s">
        <v>1204</v>
      </c>
      <c r="J41" s="7" t="str">
        <f aca="false">IF(COUNTIF(Competitions!A:A,B41)&gt;0,"OK","BROKEN")</f>
        <v>OK</v>
      </c>
    </row>
    <row r="42" customFormat="false" ht="15" hidden="false" customHeight="false" outlineLevel="0" collapsed="false">
      <c r="A42" s="7" t="s">
        <v>1211</v>
      </c>
      <c r="B42" s="7" t="s">
        <v>342</v>
      </c>
      <c r="C42" s="8" t="n">
        <v>46234.9479166667</v>
      </c>
      <c r="D42" s="7" t="s">
        <v>1070</v>
      </c>
      <c r="E42" s="7" t="s">
        <v>1206</v>
      </c>
      <c r="F42" s="7" t="s">
        <v>1150</v>
      </c>
      <c r="G42" s="7" t="s">
        <v>914</v>
      </c>
      <c r="H42" s="7"/>
      <c r="I42" s="7" t="s">
        <v>1204</v>
      </c>
      <c r="J42" s="7" t="str">
        <f aca="false">IF(COUNTIF(Competitions!A:A,B42)&gt;0,"OK","BROKEN")</f>
        <v>OK</v>
      </c>
    </row>
    <row r="43" customFormat="false" ht="15" hidden="false" customHeight="false" outlineLevel="0" collapsed="false">
      <c r="A43" s="7" t="s">
        <v>1212</v>
      </c>
      <c r="B43" s="7" t="s">
        <v>342</v>
      </c>
      <c r="C43" s="8" t="n">
        <v>46234.9652777778</v>
      </c>
      <c r="D43" s="7" t="s">
        <v>1203</v>
      </c>
      <c r="E43" s="7" t="s">
        <v>1210</v>
      </c>
      <c r="F43" s="7" t="s">
        <v>1150</v>
      </c>
      <c r="G43" s="7" t="s">
        <v>914</v>
      </c>
      <c r="H43" s="7"/>
      <c r="I43" s="7" t="s">
        <v>1204</v>
      </c>
      <c r="J43" s="7" t="str">
        <f aca="false">IF(COUNTIF(Competitions!A:A,B43)&gt;0,"OK","BROKEN")</f>
        <v>OK</v>
      </c>
    </row>
    <row r="44" customFormat="false" ht="15" hidden="false" customHeight="false" outlineLevel="0" collapsed="false">
      <c r="A44" s="7" t="s">
        <v>1213</v>
      </c>
      <c r="B44" s="7" t="s">
        <v>342</v>
      </c>
      <c r="C44" s="8" t="n">
        <v>46234.9826388889</v>
      </c>
      <c r="D44" s="7" t="s">
        <v>1069</v>
      </c>
      <c r="E44" s="7" t="s">
        <v>1070</v>
      </c>
      <c r="F44" s="7" t="s">
        <v>1150</v>
      </c>
      <c r="G44" s="7" t="s">
        <v>914</v>
      </c>
      <c r="H44" s="7"/>
      <c r="I44" s="7" t="s">
        <v>1204</v>
      </c>
      <c r="J44" s="7" t="str">
        <f aca="false">IF(COUNTIF(Competitions!A:A,B44)&gt;0,"OK","BROKEN")</f>
        <v>OK</v>
      </c>
    </row>
    <row r="45" customFormat="false" ht="15" hidden="false" customHeight="false" outlineLevel="0" collapsed="false">
      <c r="A45" s="7" t="s">
        <v>1214</v>
      </c>
      <c r="B45" s="7" t="s">
        <v>342</v>
      </c>
      <c r="C45" s="8" t="n">
        <v>46235.0416666667</v>
      </c>
      <c r="D45" s="7" t="s">
        <v>1038</v>
      </c>
      <c r="E45" s="7" t="s">
        <v>1215</v>
      </c>
      <c r="F45" s="7" t="s">
        <v>1216</v>
      </c>
      <c r="G45" s="7" t="s">
        <v>914</v>
      </c>
      <c r="H45" s="7"/>
      <c r="I45" s="7" t="s">
        <v>1204</v>
      </c>
      <c r="J45" s="7" t="str">
        <f aca="false">IF(COUNTIF(Competitions!A:A,B45)&gt;0,"OK","BROKEN")</f>
        <v>OK</v>
      </c>
    </row>
    <row r="46" customFormat="false" ht="15" hidden="false" customHeight="false" outlineLevel="0" collapsed="false">
      <c r="A46" s="7" t="s">
        <v>1217</v>
      </c>
      <c r="B46" s="7" t="s">
        <v>342</v>
      </c>
      <c r="C46" s="8" t="n">
        <v>46235.0590277778</v>
      </c>
      <c r="D46" s="7" t="s">
        <v>1218</v>
      </c>
      <c r="E46" s="7" t="s">
        <v>1219</v>
      </c>
      <c r="F46" s="7" t="s">
        <v>1216</v>
      </c>
      <c r="G46" s="7" t="s">
        <v>914</v>
      </c>
      <c r="H46" s="7"/>
      <c r="I46" s="7" t="s">
        <v>1204</v>
      </c>
      <c r="J46" s="7" t="str">
        <f aca="false">IF(COUNTIF(Competitions!A:A,B46)&gt;0,"OK","BROKEN")</f>
        <v>OK</v>
      </c>
    </row>
    <row r="47" customFormat="false" ht="15" hidden="false" customHeight="false" outlineLevel="0" collapsed="false">
      <c r="A47" s="7" t="s">
        <v>1220</v>
      </c>
      <c r="B47" s="7" t="s">
        <v>342</v>
      </c>
      <c r="C47" s="8" t="n">
        <v>46235.0763888889</v>
      </c>
      <c r="D47" s="7" t="s">
        <v>1221</v>
      </c>
      <c r="E47" s="7" t="s">
        <v>1051</v>
      </c>
      <c r="F47" s="7" t="s">
        <v>1150</v>
      </c>
      <c r="G47" s="7" t="s">
        <v>914</v>
      </c>
      <c r="H47" s="7"/>
      <c r="I47" s="7" t="s">
        <v>1204</v>
      </c>
      <c r="J47" s="7" t="str">
        <f aca="false">IF(COUNTIF(Competitions!A:A,B47)&gt;0,"OK","BROKEN")</f>
        <v>OK</v>
      </c>
    </row>
    <row r="48" customFormat="false" ht="15" hidden="false" customHeight="false" outlineLevel="0" collapsed="false">
      <c r="A48" s="7" t="s">
        <v>1222</v>
      </c>
      <c r="B48" s="7" t="s">
        <v>342</v>
      </c>
      <c r="C48" s="8" t="n">
        <v>46235.09375</v>
      </c>
      <c r="D48" s="7" t="s">
        <v>1223</v>
      </c>
      <c r="E48" s="7" t="s">
        <v>282</v>
      </c>
      <c r="F48" s="7" t="s">
        <v>1150</v>
      </c>
      <c r="G48" s="7" t="s">
        <v>914</v>
      </c>
      <c r="H48" s="7"/>
      <c r="I48" s="7" t="s">
        <v>1204</v>
      </c>
      <c r="J48" s="7" t="str">
        <f aca="false">IF(COUNTIF(Competitions!A:A,B48)&gt;0,"OK","BROKEN")</f>
        <v>OK</v>
      </c>
    </row>
    <row r="49" customFormat="false" ht="15" hidden="false" customHeight="false" outlineLevel="0" collapsed="false">
      <c r="A49" s="7" t="s">
        <v>1224</v>
      </c>
      <c r="B49" s="7" t="s">
        <v>358</v>
      </c>
      <c r="C49" s="8" t="n">
        <v>46235.125</v>
      </c>
      <c r="D49" s="7" t="s">
        <v>1153</v>
      </c>
      <c r="E49" s="7" t="s">
        <v>1158</v>
      </c>
      <c r="F49" s="7" t="s">
        <v>1150</v>
      </c>
      <c r="G49" s="7" t="s">
        <v>914</v>
      </c>
      <c r="H49" s="7"/>
      <c r="I49" s="7" t="s">
        <v>1151</v>
      </c>
      <c r="J49" s="7" t="str">
        <f aca="false">IF(COUNTIF(Competitions!A:A,B49)&gt;0,"OK","BROKEN")</f>
        <v>OK</v>
      </c>
    </row>
    <row r="50" customFormat="false" ht="15" hidden="false" customHeight="false" outlineLevel="0" collapsed="false">
      <c r="A50" s="7" t="s">
        <v>1225</v>
      </c>
      <c r="B50" s="7" t="s">
        <v>342</v>
      </c>
      <c r="C50" s="8" t="n">
        <v>46235.125</v>
      </c>
      <c r="D50" s="7" t="s">
        <v>1226</v>
      </c>
      <c r="E50" s="7" t="s">
        <v>1215</v>
      </c>
      <c r="F50" s="7" t="s">
        <v>1216</v>
      </c>
      <c r="G50" s="7" t="s">
        <v>914</v>
      </c>
      <c r="H50" s="7"/>
      <c r="I50" s="7" t="s">
        <v>1204</v>
      </c>
      <c r="J50" s="7" t="str">
        <f aca="false">IF(COUNTIF(Competitions!A:A,B50)&gt;0,"OK","BROKEN")</f>
        <v>OK</v>
      </c>
    </row>
    <row r="51" customFormat="false" ht="15" hidden="false" customHeight="false" outlineLevel="0" collapsed="false">
      <c r="A51" s="7" t="s">
        <v>1227</v>
      </c>
      <c r="B51" s="7" t="s">
        <v>342</v>
      </c>
      <c r="C51" s="8" t="n">
        <v>46235.1423611111</v>
      </c>
      <c r="D51" s="7" t="s">
        <v>1002</v>
      </c>
      <c r="E51" s="7" t="s">
        <v>1219</v>
      </c>
      <c r="F51" s="7" t="s">
        <v>1216</v>
      </c>
      <c r="G51" s="7" t="s">
        <v>914</v>
      </c>
      <c r="H51" s="7"/>
      <c r="I51" s="7" t="s">
        <v>1204</v>
      </c>
      <c r="J51" s="7" t="str">
        <f aca="false">IF(COUNTIF(Competitions!A:A,B51)&gt;0,"OK","BROKEN")</f>
        <v>OK</v>
      </c>
    </row>
    <row r="52" customFormat="false" ht="15" hidden="false" customHeight="false" outlineLevel="0" collapsed="false">
      <c r="A52" s="7" t="s">
        <v>1228</v>
      </c>
      <c r="B52" s="7" t="s">
        <v>342</v>
      </c>
      <c r="C52" s="8" t="n">
        <v>46235.1597222222</v>
      </c>
      <c r="D52" s="7" t="s">
        <v>1034</v>
      </c>
      <c r="E52" s="7" t="s">
        <v>1051</v>
      </c>
      <c r="F52" s="7" t="s">
        <v>1150</v>
      </c>
      <c r="G52" s="7" t="s">
        <v>914</v>
      </c>
      <c r="H52" s="7"/>
      <c r="I52" s="7" t="s">
        <v>1204</v>
      </c>
      <c r="J52" s="7" t="str">
        <f aca="false">IF(COUNTIF(Competitions!A:A,B52)&gt;0,"OK","BROKEN")</f>
        <v>OK</v>
      </c>
    </row>
    <row r="53" customFormat="false" ht="15" hidden="false" customHeight="false" outlineLevel="0" collapsed="false">
      <c r="A53" s="7" t="s">
        <v>1229</v>
      </c>
      <c r="B53" s="7" t="s">
        <v>342</v>
      </c>
      <c r="C53" s="8" t="n">
        <v>46235.1770833333</v>
      </c>
      <c r="D53" s="7" t="s">
        <v>1230</v>
      </c>
      <c r="E53" s="7" t="s">
        <v>282</v>
      </c>
      <c r="F53" s="7" t="s">
        <v>1150</v>
      </c>
      <c r="G53" s="7" t="s">
        <v>914</v>
      </c>
      <c r="H53" s="7"/>
      <c r="I53" s="7" t="s">
        <v>1204</v>
      </c>
      <c r="J53" s="7" t="str">
        <f aca="false">IF(COUNTIF(Competitions!A:A,B53)&gt;0,"OK","BROKEN")</f>
        <v>OK</v>
      </c>
    </row>
    <row r="54" customFormat="false" ht="15" hidden="false" customHeight="false" outlineLevel="0" collapsed="false">
      <c r="A54" s="7" t="s">
        <v>1231</v>
      </c>
      <c r="B54" s="7" t="s">
        <v>342</v>
      </c>
      <c r="C54" s="8" t="n">
        <v>46235.2083333333</v>
      </c>
      <c r="D54" s="7" t="s">
        <v>1226</v>
      </c>
      <c r="E54" s="7" t="s">
        <v>1038</v>
      </c>
      <c r="F54" s="7" t="s">
        <v>1150</v>
      </c>
      <c r="G54" s="7" t="s">
        <v>914</v>
      </c>
      <c r="H54" s="7"/>
      <c r="I54" s="7" t="s">
        <v>1204</v>
      </c>
      <c r="J54" s="7" t="str">
        <f aca="false">IF(COUNTIF(Competitions!A:A,B54)&gt;0,"OK","BROKEN")</f>
        <v>OK</v>
      </c>
    </row>
    <row r="55" customFormat="false" ht="15" hidden="false" customHeight="false" outlineLevel="0" collapsed="false">
      <c r="A55" s="7" t="s">
        <v>1232</v>
      </c>
      <c r="B55" s="7" t="s">
        <v>342</v>
      </c>
      <c r="C55" s="8" t="n">
        <v>46235.2256944445</v>
      </c>
      <c r="D55" s="7" t="s">
        <v>1002</v>
      </c>
      <c r="E55" s="7" t="s">
        <v>1218</v>
      </c>
      <c r="F55" s="7" t="s">
        <v>1150</v>
      </c>
      <c r="G55" s="7" t="s">
        <v>914</v>
      </c>
      <c r="H55" s="7"/>
      <c r="I55" s="7" t="s">
        <v>1204</v>
      </c>
      <c r="J55" s="7" t="str">
        <f aca="false">IF(COUNTIF(Competitions!A:A,B55)&gt;0,"OK","BROKEN")</f>
        <v>OK</v>
      </c>
    </row>
    <row r="56" customFormat="false" ht="15" hidden="false" customHeight="false" outlineLevel="0" collapsed="false">
      <c r="A56" s="7" t="s">
        <v>1233</v>
      </c>
      <c r="B56" s="7" t="s">
        <v>342</v>
      </c>
      <c r="C56" s="8" t="n">
        <v>46235.2430555556</v>
      </c>
      <c r="D56" s="7" t="s">
        <v>1034</v>
      </c>
      <c r="E56" s="7" t="s">
        <v>1221</v>
      </c>
      <c r="F56" s="7" t="s">
        <v>1150</v>
      </c>
      <c r="G56" s="7" t="s">
        <v>914</v>
      </c>
      <c r="H56" s="7"/>
      <c r="I56" s="7" t="s">
        <v>1204</v>
      </c>
      <c r="J56" s="7" t="str">
        <f aca="false">IF(COUNTIF(Competitions!A:A,B56)&gt;0,"OK","BROKEN")</f>
        <v>OK</v>
      </c>
    </row>
    <row r="57" customFormat="false" ht="15" hidden="false" customHeight="false" outlineLevel="0" collapsed="false">
      <c r="A57" s="7" t="s">
        <v>1234</v>
      </c>
      <c r="B57" s="7" t="s">
        <v>342</v>
      </c>
      <c r="C57" s="8" t="n">
        <v>46235.2604166667</v>
      </c>
      <c r="D57" s="7" t="s">
        <v>1230</v>
      </c>
      <c r="E57" s="7" t="s">
        <v>1223</v>
      </c>
      <c r="F57" s="7" t="s">
        <v>1150</v>
      </c>
      <c r="G57" s="7" t="s">
        <v>914</v>
      </c>
      <c r="H57" s="7"/>
      <c r="I57" s="7" t="s">
        <v>1204</v>
      </c>
      <c r="J57" s="7" t="str">
        <f aca="false">IF(COUNTIF(Competitions!A:A,B57)&gt;0,"OK","BROKEN")</f>
        <v>OK</v>
      </c>
    </row>
    <row r="58" customFormat="false" ht="15" hidden="false" customHeight="false" outlineLevel="0" collapsed="false">
      <c r="A58" s="7" t="s">
        <v>1235</v>
      </c>
      <c r="B58" s="7" t="s">
        <v>321</v>
      </c>
      <c r="C58" s="8" t="n">
        <v>46235.2916666667</v>
      </c>
      <c r="D58" s="7" t="s">
        <v>1153</v>
      </c>
      <c r="E58" s="7" t="s">
        <v>1075</v>
      </c>
      <c r="F58" s="7" t="s">
        <v>1150</v>
      </c>
      <c r="G58" s="7" t="s">
        <v>914</v>
      </c>
      <c r="H58" s="7"/>
      <c r="I58" s="7" t="s">
        <v>1236</v>
      </c>
      <c r="J58" s="7" t="str">
        <f aca="false">IF(COUNTIF(Competitions!A:A,B58)&gt;0,"OK","BROKEN")</f>
        <v>OK</v>
      </c>
    </row>
    <row r="59" customFormat="false" ht="15" hidden="false" customHeight="false" outlineLevel="0" collapsed="false">
      <c r="A59" s="7" t="s">
        <v>1237</v>
      </c>
      <c r="B59" s="7" t="s">
        <v>358</v>
      </c>
      <c r="C59" s="8" t="n">
        <v>46235.3125</v>
      </c>
      <c r="D59" s="7" t="s">
        <v>1038</v>
      </c>
      <c r="E59" s="7" t="s">
        <v>282</v>
      </c>
      <c r="F59" s="7" t="s">
        <v>1150</v>
      </c>
      <c r="G59" s="7" t="s">
        <v>914</v>
      </c>
      <c r="H59" s="7"/>
      <c r="I59" s="7" t="s">
        <v>1151</v>
      </c>
      <c r="J59" s="7" t="str">
        <f aca="false">IF(COUNTIF(Competitions!A:A,B59)&gt;0,"OK","BROKEN")</f>
        <v>OK</v>
      </c>
    </row>
    <row r="60" customFormat="false" ht="15" hidden="false" customHeight="false" outlineLevel="0" collapsed="false">
      <c r="A60" s="7" t="s">
        <v>1238</v>
      </c>
      <c r="B60" s="7" t="s">
        <v>367</v>
      </c>
      <c r="C60" s="8" t="n">
        <v>46235.4270833333</v>
      </c>
      <c r="D60" s="7" t="s">
        <v>1239</v>
      </c>
      <c r="E60" s="7" t="s">
        <v>1240</v>
      </c>
      <c r="F60" s="7" t="s">
        <v>1241</v>
      </c>
      <c r="G60" s="7" t="s">
        <v>914</v>
      </c>
      <c r="H60" s="7"/>
      <c r="I60" s="7" t="s">
        <v>1242</v>
      </c>
      <c r="J60" s="7" t="str">
        <f aca="false">IF(COUNTIF(Competitions!A:A,B60)&gt;0,"OK","BROKEN")</f>
        <v>OK</v>
      </c>
    </row>
    <row r="61" customFormat="false" ht="15" hidden="false" customHeight="false" outlineLevel="0" collapsed="false">
      <c r="A61" s="7" t="s">
        <v>1243</v>
      </c>
      <c r="B61" s="7" t="s">
        <v>334</v>
      </c>
      <c r="C61" s="8" t="n">
        <v>46235.5208333333</v>
      </c>
      <c r="D61" s="7" t="s">
        <v>1168</v>
      </c>
      <c r="E61" s="7" t="s">
        <v>1174</v>
      </c>
      <c r="F61" s="7" t="s">
        <v>1150</v>
      </c>
      <c r="G61" s="7" t="s">
        <v>914</v>
      </c>
      <c r="H61" s="7"/>
      <c r="I61" s="7" t="s">
        <v>1244</v>
      </c>
      <c r="J61" s="7" t="str">
        <f aca="false">IF(COUNTIF(Competitions!A:A,B61)&gt;0,"OK","BROKEN")</f>
        <v>OK</v>
      </c>
    </row>
    <row r="62" customFormat="false" ht="15" hidden="false" customHeight="false" outlineLevel="0" collapsed="false">
      <c r="A62" s="7" t="s">
        <v>1245</v>
      </c>
      <c r="B62" s="7" t="s">
        <v>334</v>
      </c>
      <c r="C62" s="8" t="n">
        <v>46235.6145833333</v>
      </c>
      <c r="D62" s="7" t="s">
        <v>1164</v>
      </c>
      <c r="E62" s="7" t="s">
        <v>1169</v>
      </c>
      <c r="F62" s="7" t="s">
        <v>1150</v>
      </c>
      <c r="G62" s="7" t="s">
        <v>914</v>
      </c>
      <c r="H62" s="7"/>
      <c r="I62" s="7" t="s">
        <v>1244</v>
      </c>
      <c r="J62" s="7" t="str">
        <f aca="false">IF(COUNTIF(Competitions!A:A,B62)&gt;0,"OK","BROKEN")</f>
        <v>OK</v>
      </c>
    </row>
    <row r="63" customFormat="false" ht="15" hidden="false" customHeight="false" outlineLevel="0" collapsed="false">
      <c r="A63" s="7" t="s">
        <v>1246</v>
      </c>
      <c r="B63" s="7" t="s">
        <v>336</v>
      </c>
      <c r="C63" s="8" t="n">
        <v>46235.6666666667</v>
      </c>
      <c r="D63" s="7" t="s">
        <v>1134</v>
      </c>
      <c r="E63" s="7" t="s">
        <v>1130</v>
      </c>
      <c r="F63" s="7" t="s">
        <v>1179</v>
      </c>
      <c r="G63" s="7" t="s">
        <v>1116</v>
      </c>
      <c r="H63" s="7"/>
      <c r="I63" s="7" t="s">
        <v>1181</v>
      </c>
      <c r="J63" s="7" t="str">
        <f aca="false">IF(COUNTIF(Competitions!A:A,B63)&gt;0,"OK","BROKEN")</f>
        <v>OK</v>
      </c>
    </row>
    <row r="64" customFormat="false" ht="15" hidden="false" customHeight="false" outlineLevel="0" collapsed="false">
      <c r="A64" s="7" t="s">
        <v>1247</v>
      </c>
      <c r="B64" s="7" t="s">
        <v>336</v>
      </c>
      <c r="C64" s="8" t="n">
        <v>46235.875</v>
      </c>
      <c r="D64" s="7" t="s">
        <v>1129</v>
      </c>
      <c r="E64" s="7" t="s">
        <v>1133</v>
      </c>
      <c r="F64" s="7" t="s">
        <v>1179</v>
      </c>
      <c r="G64" s="7" t="s">
        <v>1116</v>
      </c>
      <c r="H64" s="7"/>
      <c r="I64" s="7" t="s">
        <v>1181</v>
      </c>
      <c r="J64" s="7" t="str">
        <f aca="false">IF(COUNTIF(Competitions!A:A,B64)&gt;0,"OK","BROKEN")</f>
        <v>OK</v>
      </c>
    </row>
    <row r="65" customFormat="false" ht="15" hidden="false" customHeight="false" outlineLevel="0" collapsed="false">
      <c r="A65" s="7" t="s">
        <v>1248</v>
      </c>
      <c r="B65" s="7" t="s">
        <v>475</v>
      </c>
      <c r="C65" s="8" t="n">
        <v>46236.0208333333</v>
      </c>
      <c r="D65" s="7" t="s">
        <v>1185</v>
      </c>
      <c r="E65" s="7" t="s">
        <v>1186</v>
      </c>
      <c r="F65" s="7" t="s">
        <v>1249</v>
      </c>
      <c r="G65" s="7" t="s">
        <v>914</v>
      </c>
      <c r="H65" s="7"/>
      <c r="I65" s="7" t="s">
        <v>1188</v>
      </c>
      <c r="J65" s="7" t="str">
        <f aca="false">IF(COUNTIF(Competitions!A:A,B65)&gt;0,"OK","BROKEN")</f>
        <v>OK</v>
      </c>
    </row>
    <row r="66" customFormat="false" ht="15" hidden="false" customHeight="false" outlineLevel="0" collapsed="false">
      <c r="A66" s="7" t="s">
        <v>1250</v>
      </c>
      <c r="B66" s="7" t="s">
        <v>367</v>
      </c>
      <c r="C66" s="8" t="n">
        <v>46236.2083333333</v>
      </c>
      <c r="D66" s="7" t="s">
        <v>1251</v>
      </c>
      <c r="E66" s="7" t="s">
        <v>1240</v>
      </c>
      <c r="F66" s="7" t="s">
        <v>1241</v>
      </c>
      <c r="G66" s="7" t="s">
        <v>914</v>
      </c>
      <c r="H66" s="7"/>
      <c r="I66" s="7" t="s">
        <v>1242</v>
      </c>
      <c r="J66" s="7" t="str">
        <f aca="false">IF(COUNTIF(Competitions!A:A,B66)&gt;0,"OK","BROKEN")</f>
        <v>OK</v>
      </c>
    </row>
    <row r="67" customFormat="false" ht="15" hidden="false" customHeight="false" outlineLevel="0" collapsed="false">
      <c r="A67" s="7" t="s">
        <v>1252</v>
      </c>
      <c r="B67" s="7" t="s">
        <v>367</v>
      </c>
      <c r="C67" s="8" t="n">
        <v>46236.3125</v>
      </c>
      <c r="D67" s="7" t="s">
        <v>1253</v>
      </c>
      <c r="E67" s="7" t="s">
        <v>1240</v>
      </c>
      <c r="F67" s="7" t="s">
        <v>1241</v>
      </c>
      <c r="G67" s="7" t="s">
        <v>914</v>
      </c>
      <c r="H67" s="7"/>
      <c r="I67" s="7" t="s">
        <v>1254</v>
      </c>
      <c r="J67" s="7" t="str">
        <f aca="false">IF(COUNTIF(Competitions!A:A,B67)&gt;0,"OK","BROKEN")</f>
        <v>OK</v>
      </c>
    </row>
    <row r="68" customFormat="false" ht="15" hidden="false" customHeight="false" outlineLevel="0" collapsed="false">
      <c r="A68" s="7" t="s">
        <v>1255</v>
      </c>
      <c r="B68" s="7" t="s">
        <v>367</v>
      </c>
      <c r="C68" s="8" t="n">
        <v>46236.4236111111</v>
      </c>
      <c r="D68" s="7" t="s">
        <v>1256</v>
      </c>
      <c r="E68" s="7" t="s">
        <v>1240</v>
      </c>
      <c r="F68" s="7" t="s">
        <v>1241</v>
      </c>
      <c r="G68" s="7" t="s">
        <v>914</v>
      </c>
      <c r="H68" s="7"/>
      <c r="I68" s="7" t="s">
        <v>1254</v>
      </c>
      <c r="J68" s="7" t="str">
        <f aca="false">IF(COUNTIF(Competitions!A:A,B68)&gt;0,"OK","BROKEN")</f>
        <v>OK</v>
      </c>
    </row>
    <row r="69" customFormat="false" ht="15" hidden="false" customHeight="false" outlineLevel="0" collapsed="false">
      <c r="A69" s="7" t="s">
        <v>1257</v>
      </c>
      <c r="B69" s="7" t="s">
        <v>467</v>
      </c>
      <c r="C69" s="8" t="n">
        <v>46237.5416666667</v>
      </c>
      <c r="D69" s="7" t="s">
        <v>1258</v>
      </c>
      <c r="E69" s="7" t="s">
        <v>1024</v>
      </c>
      <c r="F69" s="7" t="s">
        <v>1150</v>
      </c>
      <c r="G69" s="7" t="s">
        <v>914</v>
      </c>
      <c r="H69" s="7"/>
      <c r="I69" s="7" t="s">
        <v>1259</v>
      </c>
      <c r="J69" s="7" t="str">
        <f aca="false">IF(COUNTIF(Competitions!A:A,B69)&gt;0,"OK","BROKEN")</f>
        <v>OK</v>
      </c>
    </row>
    <row r="70" customFormat="false" ht="15" hidden="false" customHeight="false" outlineLevel="0" collapsed="false">
      <c r="A70" s="7" t="s">
        <v>1260</v>
      </c>
      <c r="B70" s="7" t="s">
        <v>467</v>
      </c>
      <c r="C70" s="8" t="n">
        <v>46237.6875</v>
      </c>
      <c r="D70" s="7" t="s">
        <v>1261</v>
      </c>
      <c r="E70" s="7" t="s">
        <v>1262</v>
      </c>
      <c r="F70" s="7" t="s">
        <v>1150</v>
      </c>
      <c r="G70" s="7" t="s">
        <v>914</v>
      </c>
      <c r="H70" s="7"/>
      <c r="I70" s="7" t="s">
        <v>1259</v>
      </c>
      <c r="J70" s="7" t="str">
        <f aca="false">IF(COUNTIF(Competitions!A:A,B70)&gt;0,"OK","BROKEN")</f>
        <v>OK</v>
      </c>
    </row>
    <row r="71" customFormat="false" ht="15" hidden="false" customHeight="false" outlineLevel="0" collapsed="false">
      <c r="A71" s="7" t="s">
        <v>1263</v>
      </c>
      <c r="B71" s="7" t="s">
        <v>467</v>
      </c>
      <c r="C71" s="8" t="n">
        <v>46237.8333333333</v>
      </c>
      <c r="D71" s="7" t="s">
        <v>1264</v>
      </c>
      <c r="E71" s="7" t="s">
        <v>1050</v>
      </c>
      <c r="F71" s="7" t="s">
        <v>1150</v>
      </c>
      <c r="G71" s="7" t="s">
        <v>914</v>
      </c>
      <c r="H71" s="7"/>
      <c r="I71" s="7" t="s">
        <v>1259</v>
      </c>
      <c r="J71" s="7" t="str">
        <f aca="false">IF(COUNTIF(Competitions!A:A,B71)&gt;0,"OK","BROKEN")</f>
        <v>OK</v>
      </c>
    </row>
    <row r="72" customFormat="false" ht="15" hidden="false" customHeight="false" outlineLevel="0" collapsed="false">
      <c r="A72" s="7" t="s">
        <v>1265</v>
      </c>
      <c r="B72" s="7" t="s">
        <v>336</v>
      </c>
      <c r="C72" s="8" t="n">
        <v>46238</v>
      </c>
      <c r="D72" s="7" t="s">
        <v>1266</v>
      </c>
      <c r="E72" s="7" t="s">
        <v>1267</v>
      </c>
      <c r="F72" s="7" t="s">
        <v>1268</v>
      </c>
      <c r="G72" s="7" t="s">
        <v>1116</v>
      </c>
      <c r="H72" s="7"/>
      <c r="I72" s="7"/>
      <c r="J72" s="7" t="str">
        <f aca="false">IF(COUNTIF(Competitions!A:A,B72)&gt;0,"OK","BROKEN")</f>
        <v>OK</v>
      </c>
    </row>
    <row r="73" customFormat="false" ht="15" hidden="false" customHeight="false" outlineLevel="0" collapsed="false">
      <c r="A73" s="7" t="s">
        <v>1269</v>
      </c>
      <c r="B73" s="7" t="s">
        <v>336</v>
      </c>
      <c r="C73" s="8" t="n">
        <v>46238</v>
      </c>
      <c r="D73" s="7" t="s">
        <v>1270</v>
      </c>
      <c r="E73" s="7" t="s">
        <v>1271</v>
      </c>
      <c r="F73" s="7" t="s">
        <v>1272</v>
      </c>
      <c r="G73" s="7" t="s">
        <v>1116</v>
      </c>
      <c r="H73" s="7"/>
      <c r="I73" s="7"/>
      <c r="J73" s="7" t="str">
        <f aca="false">IF(COUNTIF(Competitions!A:A,B73)&gt;0,"OK","BROKEN")</f>
        <v>OK</v>
      </c>
    </row>
    <row r="74" customFormat="false" ht="15" hidden="false" customHeight="false" outlineLevel="0" collapsed="false">
      <c r="A74" s="7" t="s">
        <v>1273</v>
      </c>
      <c r="B74" s="7" t="s">
        <v>475</v>
      </c>
      <c r="C74" s="8" t="n">
        <v>46238.0208333333</v>
      </c>
      <c r="D74" s="7" t="s">
        <v>1185</v>
      </c>
      <c r="E74" s="7" t="s">
        <v>1186</v>
      </c>
      <c r="F74" s="7" t="s">
        <v>1274</v>
      </c>
      <c r="G74" s="7" t="s">
        <v>914</v>
      </c>
      <c r="H74" s="7"/>
      <c r="I74" s="7" t="s">
        <v>1188</v>
      </c>
      <c r="J74" s="7" t="str">
        <f aca="false">IF(COUNTIF(Competitions!A:A,B74)&gt;0,"OK","BROKEN")</f>
        <v>OK</v>
      </c>
    </row>
    <row r="75" customFormat="false" ht="15" hidden="false" customHeight="false" outlineLevel="0" collapsed="false">
      <c r="A75" s="7" t="s">
        <v>1275</v>
      </c>
      <c r="B75" s="7" t="s">
        <v>467</v>
      </c>
      <c r="C75" s="8" t="n">
        <v>46238.5416666667</v>
      </c>
      <c r="D75" s="7" t="s">
        <v>1169</v>
      </c>
      <c r="E75" s="7" t="s">
        <v>1258</v>
      </c>
      <c r="F75" s="7" t="s">
        <v>1150</v>
      </c>
      <c r="G75" s="7" t="s">
        <v>914</v>
      </c>
      <c r="H75" s="7"/>
      <c r="I75" s="7" t="s">
        <v>1259</v>
      </c>
      <c r="J75" s="7" t="str">
        <f aca="false">IF(COUNTIF(Competitions!A:A,B75)&gt;0,"OK","BROKEN")</f>
        <v>OK</v>
      </c>
    </row>
    <row r="76" customFormat="false" ht="15" hidden="false" customHeight="false" outlineLevel="0" collapsed="false">
      <c r="A76" s="7" t="s">
        <v>1276</v>
      </c>
      <c r="B76" s="7" t="s">
        <v>467</v>
      </c>
      <c r="C76" s="8" t="n">
        <v>46238.6875</v>
      </c>
      <c r="D76" s="7" t="s">
        <v>1262</v>
      </c>
      <c r="E76" s="7" t="s">
        <v>1264</v>
      </c>
      <c r="F76" s="7" t="s">
        <v>1150</v>
      </c>
      <c r="G76" s="7" t="s">
        <v>914</v>
      </c>
      <c r="H76" s="7"/>
      <c r="I76" s="7" t="s">
        <v>1259</v>
      </c>
      <c r="J76" s="7" t="str">
        <f aca="false">IF(COUNTIF(Competitions!A:A,B76)&gt;0,"OK","BROKEN")</f>
        <v>OK</v>
      </c>
    </row>
    <row r="77" customFormat="false" ht="15" hidden="false" customHeight="false" outlineLevel="0" collapsed="false">
      <c r="A77" s="7" t="s">
        <v>1277</v>
      </c>
      <c r="B77" s="7" t="s">
        <v>467</v>
      </c>
      <c r="C77" s="8" t="n">
        <v>46238.8333333333</v>
      </c>
      <c r="D77" s="7" t="s">
        <v>1050</v>
      </c>
      <c r="E77" s="7" t="s">
        <v>1261</v>
      </c>
      <c r="F77" s="7" t="s">
        <v>1150</v>
      </c>
      <c r="G77" s="7" t="s">
        <v>914</v>
      </c>
      <c r="H77" s="7"/>
      <c r="I77" s="7" t="s">
        <v>1259</v>
      </c>
      <c r="J77" s="7" t="str">
        <f aca="false">IF(COUNTIF(Competitions!A:A,B77)&gt;0,"OK","BROKEN")</f>
        <v>OK</v>
      </c>
    </row>
    <row r="78" customFormat="false" ht="15" hidden="false" customHeight="false" outlineLevel="0" collapsed="false">
      <c r="A78" s="7" t="s">
        <v>1278</v>
      </c>
      <c r="B78" s="7" t="s">
        <v>336</v>
      </c>
      <c r="C78" s="8" t="n">
        <v>46239</v>
      </c>
      <c r="D78" s="7" t="s">
        <v>1279</v>
      </c>
      <c r="E78" s="7" t="s">
        <v>1280</v>
      </c>
      <c r="F78" s="7" t="s">
        <v>1281</v>
      </c>
      <c r="G78" s="7" t="s">
        <v>1116</v>
      </c>
      <c r="H78" s="7"/>
      <c r="I78" s="7"/>
      <c r="J78" s="7" t="str">
        <f aca="false">IF(COUNTIF(Competitions!A:A,B78)&gt;0,"OK","BROKEN")</f>
        <v>OK</v>
      </c>
    </row>
    <row r="79" customFormat="false" ht="15" hidden="false" customHeight="false" outlineLevel="0" collapsed="false">
      <c r="A79" s="7" t="s">
        <v>1282</v>
      </c>
      <c r="B79" s="7" t="s">
        <v>336</v>
      </c>
      <c r="C79" s="8" t="n">
        <v>46239</v>
      </c>
      <c r="D79" s="7" t="s">
        <v>1283</v>
      </c>
      <c r="E79" s="7" t="s">
        <v>1284</v>
      </c>
      <c r="F79" s="7" t="s">
        <v>1285</v>
      </c>
      <c r="G79" s="7" t="s">
        <v>1116</v>
      </c>
      <c r="H79" s="7"/>
      <c r="I79" s="7"/>
      <c r="J79" s="7" t="str">
        <f aca="false">IF(COUNTIF(Competitions!A:A,B79)&gt;0,"OK","BROKEN")</f>
        <v>OK</v>
      </c>
    </row>
    <row r="80" customFormat="false" ht="15" hidden="false" customHeight="false" outlineLevel="0" collapsed="false">
      <c r="A80" s="7" t="s">
        <v>1286</v>
      </c>
      <c r="B80" s="7" t="s">
        <v>467</v>
      </c>
      <c r="C80" s="8" t="n">
        <v>46240.5416666667</v>
      </c>
      <c r="D80" s="7" t="s">
        <v>1024</v>
      </c>
      <c r="E80" s="7" t="s">
        <v>1169</v>
      </c>
      <c r="F80" s="7" t="s">
        <v>1150</v>
      </c>
      <c r="G80" s="7" t="s">
        <v>914</v>
      </c>
      <c r="H80" s="7"/>
      <c r="I80" s="7" t="s">
        <v>1259</v>
      </c>
      <c r="J80" s="7" t="str">
        <f aca="false">IF(COUNTIF(Competitions!A:A,B80)&gt;0,"OK","BROKEN")</f>
        <v>OK</v>
      </c>
    </row>
    <row r="81" customFormat="false" ht="15" hidden="false" customHeight="false" outlineLevel="0" collapsed="false">
      <c r="A81" s="7" t="s">
        <v>1287</v>
      </c>
      <c r="B81" s="7" t="s">
        <v>467</v>
      </c>
      <c r="C81" s="8" t="n">
        <v>46240.6875</v>
      </c>
      <c r="D81" s="7" t="s">
        <v>1264</v>
      </c>
      <c r="E81" s="7" t="s">
        <v>1261</v>
      </c>
      <c r="F81" s="7" t="s">
        <v>1150</v>
      </c>
      <c r="G81" s="7" t="s">
        <v>914</v>
      </c>
      <c r="H81" s="7"/>
      <c r="I81" s="7" t="s">
        <v>1259</v>
      </c>
      <c r="J81" s="7" t="str">
        <f aca="false">IF(COUNTIF(Competitions!A:A,B81)&gt;0,"OK","BROKEN")</f>
        <v>OK</v>
      </c>
    </row>
    <row r="82" customFormat="false" ht="15" hidden="false" customHeight="false" outlineLevel="0" collapsed="false">
      <c r="A82" s="7" t="s">
        <v>1288</v>
      </c>
      <c r="B82" s="7" t="s">
        <v>467</v>
      </c>
      <c r="C82" s="8" t="n">
        <v>46240.8333333333</v>
      </c>
      <c r="D82" s="7" t="s">
        <v>1262</v>
      </c>
      <c r="E82" s="7" t="s">
        <v>1050</v>
      </c>
      <c r="F82" s="7" t="s">
        <v>1150</v>
      </c>
      <c r="G82" s="7" t="s">
        <v>914</v>
      </c>
      <c r="H82" s="7"/>
      <c r="I82" s="7" t="s">
        <v>1259</v>
      </c>
      <c r="J82" s="7" t="str">
        <f aca="false">IF(COUNTIF(Competitions!A:A,B82)&gt;0,"OK","BROKEN")</f>
        <v>OK</v>
      </c>
    </row>
    <row r="83" customFormat="false" ht="15" hidden="false" customHeight="false" outlineLevel="0" collapsed="false">
      <c r="A83" s="7" t="s">
        <v>1289</v>
      </c>
      <c r="B83" s="7" t="s">
        <v>336</v>
      </c>
      <c r="C83" s="8" t="n">
        <v>46241</v>
      </c>
      <c r="D83" s="7" t="s">
        <v>1290</v>
      </c>
      <c r="E83" s="7" t="s">
        <v>1291</v>
      </c>
      <c r="F83" s="7" t="s">
        <v>1292</v>
      </c>
      <c r="G83" s="7" t="s">
        <v>1116</v>
      </c>
      <c r="H83" s="7"/>
      <c r="I83" s="7"/>
      <c r="J83" s="7" t="str">
        <f aca="false">IF(COUNTIF(Competitions!A:A,B83)&gt;0,"OK","BROKEN")</f>
        <v>OK</v>
      </c>
    </row>
    <row r="84" customFormat="false" ht="15" hidden="false" customHeight="false" outlineLevel="0" collapsed="false">
      <c r="A84" s="7" t="s">
        <v>1293</v>
      </c>
      <c r="B84" s="7" t="s">
        <v>336</v>
      </c>
      <c r="C84" s="8" t="n">
        <v>46241</v>
      </c>
      <c r="D84" s="7" t="s">
        <v>1294</v>
      </c>
      <c r="E84" s="7" t="s">
        <v>1295</v>
      </c>
      <c r="F84" s="7" t="s">
        <v>1296</v>
      </c>
      <c r="G84" s="7" t="s">
        <v>1116</v>
      </c>
      <c r="H84" s="7"/>
      <c r="I84" s="7"/>
      <c r="J84" s="7" t="str">
        <f aca="false">IF(COUNTIF(Competitions!A:A,B84)&gt;0,"OK","BROKEN")</f>
        <v>OK</v>
      </c>
    </row>
    <row r="85" customFormat="false" ht="15" hidden="false" customHeight="false" outlineLevel="0" collapsed="false">
      <c r="A85" s="7" t="s">
        <v>1297</v>
      </c>
      <c r="B85" s="7" t="s">
        <v>336</v>
      </c>
      <c r="C85" s="8" t="n">
        <v>46243</v>
      </c>
      <c r="D85" s="7" t="s">
        <v>1298</v>
      </c>
      <c r="E85" s="7" t="s">
        <v>1299</v>
      </c>
      <c r="F85" s="7" t="s">
        <v>1300</v>
      </c>
      <c r="G85" s="7" t="s">
        <v>1116</v>
      </c>
      <c r="H85" s="7"/>
      <c r="I85" s="7"/>
      <c r="J85" s="7" t="str">
        <f aca="false">IF(COUNTIF(Competitions!A:A,B85)&gt;0,"OK","BROKEN")</f>
        <v>OK</v>
      </c>
    </row>
    <row r="86" customFormat="false" ht="15" hidden="false" customHeight="false" outlineLevel="0" collapsed="false">
      <c r="A86" s="7" t="s">
        <v>1301</v>
      </c>
      <c r="B86" s="7" t="s">
        <v>362</v>
      </c>
      <c r="C86" s="8" t="n">
        <v>46247</v>
      </c>
      <c r="D86" s="7"/>
      <c r="E86" s="7"/>
      <c r="F86" s="7" t="s">
        <v>1302</v>
      </c>
      <c r="G86" s="7" t="s">
        <v>1303</v>
      </c>
      <c r="H86" s="7"/>
      <c r="I86" s="7"/>
      <c r="J86" s="7" t="str">
        <f aca="false">IF(COUNTIF(Competitions!A:A,B86)&gt;0,"OK","BROKEN")</f>
        <v>OK</v>
      </c>
    </row>
    <row r="87" customFormat="false" ht="15" hidden="false" customHeight="false" outlineLevel="0" collapsed="false">
      <c r="A87" s="7" t="s">
        <v>1304</v>
      </c>
      <c r="B87" s="7" t="s">
        <v>353</v>
      </c>
      <c r="C87" s="8" t="n">
        <v>46251.5833333333</v>
      </c>
      <c r="D87" s="7" t="s">
        <v>1024</v>
      </c>
      <c r="E87" s="7" t="s">
        <v>1305</v>
      </c>
      <c r="F87" s="7" t="s">
        <v>1150</v>
      </c>
      <c r="G87" s="7" t="s">
        <v>914</v>
      </c>
      <c r="H87" s="7"/>
      <c r="I87" s="7" t="s">
        <v>1306</v>
      </c>
      <c r="J87" s="7" t="str">
        <f aca="false">IF(COUNTIF(Competitions!A:A,B87)&gt;0,"OK","BROKEN")</f>
        <v>OK</v>
      </c>
    </row>
    <row r="88" customFormat="false" ht="15" hidden="false" customHeight="false" outlineLevel="0" collapsed="false">
      <c r="A88" s="7" t="s">
        <v>1307</v>
      </c>
      <c r="B88" s="7" t="s">
        <v>353</v>
      </c>
      <c r="C88" s="8" t="n">
        <v>46251.6979166667</v>
      </c>
      <c r="D88" s="7" t="s">
        <v>1050</v>
      </c>
      <c r="E88" s="7" t="s">
        <v>987</v>
      </c>
      <c r="F88" s="7" t="s">
        <v>1150</v>
      </c>
      <c r="G88" s="7" t="s">
        <v>914</v>
      </c>
      <c r="H88" s="7"/>
      <c r="I88" s="7" t="s">
        <v>1306</v>
      </c>
      <c r="J88" s="7" t="str">
        <f aca="false">IF(COUNTIF(Competitions!A:A,B88)&gt;0,"OK","BROKEN")</f>
        <v>OK</v>
      </c>
    </row>
    <row r="89" customFormat="false" ht="15" hidden="false" customHeight="false" outlineLevel="0" collapsed="false">
      <c r="A89" s="7" t="s">
        <v>1308</v>
      </c>
      <c r="B89" s="7" t="s">
        <v>353</v>
      </c>
      <c r="C89" s="8" t="n">
        <v>46251.8125</v>
      </c>
      <c r="D89" s="7" t="s">
        <v>1034</v>
      </c>
      <c r="E89" s="7" t="s">
        <v>1309</v>
      </c>
      <c r="F89" s="7" t="s">
        <v>1150</v>
      </c>
      <c r="G89" s="7" t="s">
        <v>914</v>
      </c>
      <c r="H89" s="7"/>
      <c r="I89" s="7" t="s">
        <v>1306</v>
      </c>
      <c r="J89" s="7" t="str">
        <f aca="false">IF(COUNTIF(Competitions!A:A,B89)&gt;0,"OK","BROKEN")</f>
        <v>OK</v>
      </c>
    </row>
    <row r="90" customFormat="false" ht="15" hidden="false" customHeight="false" outlineLevel="0" collapsed="false">
      <c r="A90" s="7" t="s">
        <v>1310</v>
      </c>
      <c r="B90" s="7" t="s">
        <v>353</v>
      </c>
      <c r="C90" s="8" t="n">
        <v>46251.9375</v>
      </c>
      <c r="D90" s="7" t="s">
        <v>1168</v>
      </c>
      <c r="E90" s="7" t="s">
        <v>1069</v>
      </c>
      <c r="F90" s="7" t="s">
        <v>1150</v>
      </c>
      <c r="G90" s="7" t="s">
        <v>914</v>
      </c>
      <c r="H90" s="7"/>
      <c r="I90" s="7" t="s">
        <v>1306</v>
      </c>
      <c r="J90" s="7" t="str">
        <f aca="false">IF(COUNTIF(Competitions!A:A,B90)&gt;0,"OK","BROKEN")</f>
        <v>OK</v>
      </c>
    </row>
    <row r="91" customFormat="false" ht="15" hidden="false" customHeight="false" outlineLevel="0" collapsed="false">
      <c r="A91" s="7" t="s">
        <v>1311</v>
      </c>
      <c r="B91" s="7" t="s">
        <v>353</v>
      </c>
      <c r="C91" s="8" t="n">
        <v>46252.8125</v>
      </c>
      <c r="D91" s="7" t="s">
        <v>1305</v>
      </c>
      <c r="E91" s="7" t="s">
        <v>1050</v>
      </c>
      <c r="F91" s="7" t="s">
        <v>1150</v>
      </c>
      <c r="G91" s="7" t="s">
        <v>914</v>
      </c>
      <c r="H91" s="7"/>
      <c r="I91" s="7" t="s">
        <v>1306</v>
      </c>
      <c r="J91" s="7" t="str">
        <f aca="false">IF(COUNTIF(Competitions!A:A,B91)&gt;0,"OK","BROKEN")</f>
        <v>OK</v>
      </c>
    </row>
    <row r="92" customFormat="false" ht="15" hidden="false" customHeight="false" outlineLevel="0" collapsed="false">
      <c r="A92" s="7" t="s">
        <v>1312</v>
      </c>
      <c r="B92" s="7" t="s">
        <v>353</v>
      </c>
      <c r="C92" s="8" t="n">
        <v>46252.9375</v>
      </c>
      <c r="D92" s="7" t="s">
        <v>987</v>
      </c>
      <c r="E92" s="7" t="s">
        <v>1024</v>
      </c>
      <c r="F92" s="7" t="s">
        <v>1150</v>
      </c>
      <c r="G92" s="7" t="s">
        <v>914</v>
      </c>
      <c r="H92" s="7"/>
      <c r="I92" s="7" t="s">
        <v>1306</v>
      </c>
      <c r="J92" s="7" t="str">
        <f aca="false">IF(COUNTIF(Competitions!A:A,B92)&gt;0,"OK","BROKEN")</f>
        <v>OK</v>
      </c>
    </row>
    <row r="93" customFormat="false" ht="15" hidden="false" customHeight="false" outlineLevel="0" collapsed="false">
      <c r="A93" s="7" t="s">
        <v>1313</v>
      </c>
      <c r="B93" s="7" t="s">
        <v>353</v>
      </c>
      <c r="C93" s="8" t="n">
        <v>46253.8125</v>
      </c>
      <c r="D93" s="7" t="s">
        <v>1069</v>
      </c>
      <c r="E93" s="7" t="s">
        <v>1034</v>
      </c>
      <c r="F93" s="7" t="s">
        <v>1150</v>
      </c>
      <c r="G93" s="7" t="s">
        <v>914</v>
      </c>
      <c r="H93" s="7"/>
      <c r="I93" s="7" t="s">
        <v>1306</v>
      </c>
      <c r="J93" s="7" t="str">
        <f aca="false">IF(COUNTIF(Competitions!A:A,B93)&gt;0,"OK","BROKEN")</f>
        <v>OK</v>
      </c>
    </row>
    <row r="94" customFormat="false" ht="15" hidden="false" customHeight="false" outlineLevel="0" collapsed="false">
      <c r="A94" s="7" t="s">
        <v>1314</v>
      </c>
      <c r="B94" s="7" t="s">
        <v>353</v>
      </c>
      <c r="C94" s="8" t="n">
        <v>46253.9375</v>
      </c>
      <c r="D94" s="7" t="s">
        <v>1309</v>
      </c>
      <c r="E94" s="7" t="s">
        <v>1168</v>
      </c>
      <c r="F94" s="7" t="s">
        <v>1150</v>
      </c>
      <c r="G94" s="7" t="s">
        <v>914</v>
      </c>
      <c r="H94" s="7"/>
      <c r="I94" s="7" t="s">
        <v>1306</v>
      </c>
      <c r="J94" s="7" t="str">
        <f aca="false">IF(COUNTIF(Competitions!A:A,B94)&gt;0,"OK","BROKEN")</f>
        <v>OK</v>
      </c>
    </row>
    <row r="95" customFormat="false" ht="15" hidden="false" customHeight="false" outlineLevel="0" collapsed="false">
      <c r="A95" s="7" t="s">
        <v>1315</v>
      </c>
      <c r="B95" s="7" t="s">
        <v>353</v>
      </c>
      <c r="C95" s="8" t="n">
        <v>46254.5833333333</v>
      </c>
      <c r="D95" s="7" t="s">
        <v>1024</v>
      </c>
      <c r="E95" s="7" t="s">
        <v>1050</v>
      </c>
      <c r="F95" s="7" t="s">
        <v>1150</v>
      </c>
      <c r="G95" s="7" t="s">
        <v>914</v>
      </c>
      <c r="H95" s="7"/>
      <c r="I95" s="7" t="s">
        <v>1306</v>
      </c>
      <c r="J95" s="7" t="str">
        <f aca="false">IF(COUNTIF(Competitions!A:A,B95)&gt;0,"OK","BROKEN")</f>
        <v>OK</v>
      </c>
    </row>
    <row r="96" customFormat="false" ht="15" hidden="false" customHeight="false" outlineLevel="0" collapsed="false">
      <c r="A96" s="7" t="s">
        <v>1316</v>
      </c>
      <c r="B96" s="7" t="s">
        <v>353</v>
      </c>
      <c r="C96" s="8" t="n">
        <v>46254.6979166667</v>
      </c>
      <c r="D96" s="7" t="s">
        <v>987</v>
      </c>
      <c r="E96" s="7" t="s">
        <v>1305</v>
      </c>
      <c r="F96" s="7" t="s">
        <v>1150</v>
      </c>
      <c r="G96" s="7" t="s">
        <v>914</v>
      </c>
      <c r="H96" s="7"/>
      <c r="I96" s="7" t="s">
        <v>1306</v>
      </c>
      <c r="J96" s="7" t="str">
        <f aca="false">IF(COUNTIF(Competitions!A:A,B96)&gt;0,"OK","BROKEN")</f>
        <v>OK</v>
      </c>
    </row>
    <row r="97" customFormat="false" ht="15" hidden="false" customHeight="false" outlineLevel="0" collapsed="false">
      <c r="A97" s="7" t="s">
        <v>1317</v>
      </c>
      <c r="B97" s="7" t="s">
        <v>353</v>
      </c>
      <c r="C97" s="8" t="n">
        <v>46254.8125</v>
      </c>
      <c r="D97" s="7" t="s">
        <v>1069</v>
      </c>
      <c r="E97" s="7" t="s">
        <v>1309</v>
      </c>
      <c r="F97" s="7" t="s">
        <v>1150</v>
      </c>
      <c r="G97" s="7" t="s">
        <v>914</v>
      </c>
      <c r="H97" s="7"/>
      <c r="I97" s="7" t="s">
        <v>1306</v>
      </c>
      <c r="J97" s="7" t="str">
        <f aca="false">IF(COUNTIF(Competitions!A:A,B97)&gt;0,"OK","BROKEN")</f>
        <v>OK</v>
      </c>
    </row>
    <row r="98" customFormat="false" ht="15" hidden="false" customHeight="false" outlineLevel="0" collapsed="false">
      <c r="A98" s="7" t="s">
        <v>1318</v>
      </c>
      <c r="B98" s="7" t="s">
        <v>353</v>
      </c>
      <c r="C98" s="8" t="n">
        <v>46254.9375</v>
      </c>
      <c r="D98" s="7" t="s">
        <v>1034</v>
      </c>
      <c r="E98" s="7" t="s">
        <v>1168</v>
      </c>
      <c r="F98" s="7" t="s">
        <v>1150</v>
      </c>
      <c r="G98" s="7" t="s">
        <v>914</v>
      </c>
      <c r="H98" s="7"/>
      <c r="I98" s="7" t="s">
        <v>1306</v>
      </c>
      <c r="J98" s="7" t="str">
        <f aca="false">IF(COUNTIF(Competitions!A:A,B98)&gt;0,"OK","BROKEN")</f>
        <v>OK</v>
      </c>
    </row>
    <row r="99" customFormat="false" ht="15" hidden="false" customHeight="false" outlineLevel="0" collapsed="false">
      <c r="A99" s="7" t="s">
        <v>1319</v>
      </c>
      <c r="B99" s="7" t="s">
        <v>378</v>
      </c>
      <c r="C99" s="8" t="n">
        <v>46261.3333333333</v>
      </c>
      <c r="D99" s="7" t="s">
        <v>1320</v>
      </c>
      <c r="E99" s="7" t="s">
        <v>1305</v>
      </c>
      <c r="F99" s="7" t="s">
        <v>1321</v>
      </c>
      <c r="G99" s="7" t="s">
        <v>1116</v>
      </c>
      <c r="H99" s="7"/>
      <c r="I99" s="7" t="s">
        <v>1322</v>
      </c>
      <c r="J99" s="7" t="str">
        <f aca="false">IF(COUNTIF(Competitions!A:A,B99)&gt;0,"OK","BROKEN")</f>
        <v>OK</v>
      </c>
    </row>
    <row r="100" customFormat="false" ht="15" hidden="false" customHeight="false" outlineLevel="0" collapsed="false">
      <c r="A100" s="7" t="s">
        <v>1323</v>
      </c>
      <c r="B100" s="7" t="s">
        <v>378</v>
      </c>
      <c r="C100" s="8" t="n">
        <v>46261.3541666667</v>
      </c>
      <c r="D100" s="7" t="s">
        <v>1324</v>
      </c>
      <c r="E100" s="7" t="s">
        <v>1325</v>
      </c>
      <c r="F100" s="7" t="s">
        <v>1321</v>
      </c>
      <c r="G100" s="7" t="s">
        <v>1116</v>
      </c>
      <c r="H100" s="7"/>
      <c r="I100" s="7" t="s">
        <v>1322</v>
      </c>
      <c r="J100" s="7" t="str">
        <f aca="false">IF(COUNTIF(Competitions!A:A,B100)&gt;0,"OK","BROKEN")</f>
        <v>OK</v>
      </c>
    </row>
    <row r="101" customFormat="false" ht="15" hidden="false" customHeight="false" outlineLevel="0" collapsed="false">
      <c r="A101" s="7" t="s">
        <v>1326</v>
      </c>
      <c r="B101" s="7" t="s">
        <v>378</v>
      </c>
      <c r="C101" s="8" t="n">
        <v>46261.4583333333</v>
      </c>
      <c r="D101" s="7" t="s">
        <v>1023</v>
      </c>
      <c r="E101" s="7" t="s">
        <v>1066</v>
      </c>
      <c r="F101" s="7" t="s">
        <v>1321</v>
      </c>
      <c r="G101" s="7" t="s">
        <v>1116</v>
      </c>
      <c r="H101" s="7"/>
      <c r="I101" s="7" t="s">
        <v>1322</v>
      </c>
      <c r="J101" s="7" t="str">
        <f aca="false">IF(COUNTIF(Competitions!A:A,B101)&gt;0,"OK","BROKEN")</f>
        <v>OK</v>
      </c>
    </row>
    <row r="102" customFormat="false" ht="15" hidden="false" customHeight="false" outlineLevel="0" collapsed="false">
      <c r="A102" s="7" t="s">
        <v>1327</v>
      </c>
      <c r="B102" s="7" t="s">
        <v>378</v>
      </c>
      <c r="C102" s="8" t="n">
        <v>46261.4791666667</v>
      </c>
      <c r="D102" s="7" t="s">
        <v>1328</v>
      </c>
      <c r="E102" s="7" t="s">
        <v>1329</v>
      </c>
      <c r="F102" s="7" t="s">
        <v>1321</v>
      </c>
      <c r="G102" s="7" t="s">
        <v>1116</v>
      </c>
      <c r="H102" s="7"/>
      <c r="I102" s="7" t="s">
        <v>1322</v>
      </c>
      <c r="J102" s="7" t="str">
        <f aca="false">IF(COUNTIF(Competitions!A:A,B102)&gt;0,"OK","BROKEN")</f>
        <v>OK</v>
      </c>
    </row>
    <row r="103" customFormat="false" ht="15" hidden="false" customHeight="false" outlineLevel="0" collapsed="false">
      <c r="A103" s="7" t="s">
        <v>1330</v>
      </c>
      <c r="B103" s="7" t="s">
        <v>392</v>
      </c>
      <c r="C103" s="8" t="n">
        <v>46261.4791666667</v>
      </c>
      <c r="D103" s="7" t="s">
        <v>1062</v>
      </c>
      <c r="E103" s="7" t="s">
        <v>1036</v>
      </c>
      <c r="F103" s="7" t="s">
        <v>1321</v>
      </c>
      <c r="G103" s="7" t="s">
        <v>1116</v>
      </c>
      <c r="H103" s="7"/>
      <c r="I103" s="7" t="s">
        <v>1322</v>
      </c>
      <c r="J103" s="7" t="str">
        <f aca="false">IF(COUNTIF(Competitions!A:A,B103)&gt;0,"OK","BROKEN")</f>
        <v>OK</v>
      </c>
    </row>
    <row r="104" customFormat="false" ht="15" hidden="false" customHeight="false" outlineLevel="0" collapsed="false">
      <c r="A104" s="7" t="s">
        <v>1331</v>
      </c>
      <c r="B104" s="7" t="s">
        <v>388</v>
      </c>
      <c r="C104" s="8" t="n">
        <v>46261.5</v>
      </c>
      <c r="D104" s="7" t="s">
        <v>1061</v>
      </c>
      <c r="E104" s="7" t="s">
        <v>1040</v>
      </c>
      <c r="F104" s="7" t="s">
        <v>1321</v>
      </c>
      <c r="G104" s="7" t="s">
        <v>1116</v>
      </c>
      <c r="H104" s="7"/>
      <c r="I104" s="7" t="s">
        <v>1322</v>
      </c>
      <c r="J104" s="7" t="str">
        <f aca="false">IF(COUNTIF(Competitions!A:A,B104)&gt;0,"OK","BROKEN")</f>
        <v>OK</v>
      </c>
    </row>
    <row r="105" customFormat="false" ht="15" hidden="false" customHeight="false" outlineLevel="0" collapsed="false">
      <c r="A105" s="7" t="s">
        <v>1332</v>
      </c>
      <c r="B105" s="7" t="s">
        <v>392</v>
      </c>
      <c r="C105" s="8" t="n">
        <v>46261.5</v>
      </c>
      <c r="D105" s="7" t="s">
        <v>1333</v>
      </c>
      <c r="E105" s="7" t="s">
        <v>1059</v>
      </c>
      <c r="F105" s="7" t="s">
        <v>1321</v>
      </c>
      <c r="G105" s="7" t="s">
        <v>1116</v>
      </c>
      <c r="H105" s="7"/>
      <c r="I105" s="7" t="s">
        <v>1322</v>
      </c>
      <c r="J105" s="7" t="str">
        <f aca="false">IF(COUNTIF(Competitions!A:A,B105)&gt;0,"OK","BROKEN")</f>
        <v>OK</v>
      </c>
    </row>
    <row r="106" customFormat="false" ht="15" hidden="false" customHeight="false" outlineLevel="0" collapsed="false">
      <c r="A106" s="7" t="s">
        <v>1334</v>
      </c>
      <c r="B106" s="7" t="s">
        <v>449</v>
      </c>
      <c r="C106" s="8" t="n">
        <v>46261.5</v>
      </c>
      <c r="D106" s="7" t="s">
        <v>1033</v>
      </c>
      <c r="E106" s="7" t="s">
        <v>1053</v>
      </c>
      <c r="F106" s="7" t="s">
        <v>1335</v>
      </c>
      <c r="G106" s="7" t="s">
        <v>1116</v>
      </c>
      <c r="H106" s="7"/>
      <c r="I106" s="7" t="s">
        <v>1322</v>
      </c>
      <c r="J106" s="7" t="str">
        <f aca="false">IF(COUNTIF(Competitions!A:A,B106)&gt;0,"OK","BROKEN")</f>
        <v>OK</v>
      </c>
    </row>
    <row r="107" customFormat="false" ht="15" hidden="false" customHeight="false" outlineLevel="0" collapsed="false">
      <c r="A107" s="7" t="s">
        <v>1336</v>
      </c>
      <c r="B107" s="7" t="s">
        <v>449</v>
      </c>
      <c r="C107" s="8" t="n">
        <v>46261.5208333333</v>
      </c>
      <c r="D107" s="7" t="s">
        <v>1041</v>
      </c>
      <c r="E107" s="7" t="s">
        <v>1051</v>
      </c>
      <c r="F107" s="7" t="s">
        <v>1335</v>
      </c>
      <c r="G107" s="7" t="s">
        <v>1116</v>
      </c>
      <c r="H107" s="7"/>
      <c r="I107" s="7" t="s">
        <v>1322</v>
      </c>
      <c r="J107" s="7" t="str">
        <f aca="false">IF(COUNTIF(Competitions!A:A,B107)&gt;0,"OK","BROKEN")</f>
        <v>OK</v>
      </c>
    </row>
    <row r="108" customFormat="false" ht="15" hidden="false" customHeight="false" outlineLevel="0" collapsed="false">
      <c r="A108" s="7" t="s">
        <v>1337</v>
      </c>
      <c r="B108" s="7" t="s">
        <v>449</v>
      </c>
      <c r="C108" s="8" t="n">
        <v>46261.5416666667</v>
      </c>
      <c r="D108" s="7" t="s">
        <v>1037</v>
      </c>
      <c r="E108" s="7" t="s">
        <v>1338</v>
      </c>
      <c r="F108" s="7" t="s">
        <v>1335</v>
      </c>
      <c r="G108" s="7" t="s">
        <v>1116</v>
      </c>
      <c r="H108" s="7"/>
      <c r="I108" s="7" t="s">
        <v>1322</v>
      </c>
      <c r="J108" s="7" t="str">
        <f aca="false">IF(COUNTIF(Competitions!A:A,B108)&gt;0,"OK","BROKEN")</f>
        <v>OK</v>
      </c>
    </row>
    <row r="109" customFormat="false" ht="15" hidden="false" customHeight="false" outlineLevel="0" collapsed="false">
      <c r="A109" s="7" t="s">
        <v>1339</v>
      </c>
      <c r="B109" s="7" t="s">
        <v>388</v>
      </c>
      <c r="C109" s="8" t="n">
        <v>46261.5416666667</v>
      </c>
      <c r="D109" s="7" t="s">
        <v>1072</v>
      </c>
      <c r="E109" s="7" t="s">
        <v>1038</v>
      </c>
      <c r="F109" s="7" t="s">
        <v>1321</v>
      </c>
      <c r="G109" s="7" t="s">
        <v>1116</v>
      </c>
      <c r="H109" s="7"/>
      <c r="I109" s="7" t="s">
        <v>1322</v>
      </c>
      <c r="J109" s="7" t="str">
        <f aca="false">IF(COUNTIF(Competitions!A:A,B109)&gt;0,"OK","BROKEN")</f>
        <v>OK</v>
      </c>
    </row>
    <row r="110" customFormat="false" ht="15" hidden="false" customHeight="false" outlineLevel="0" collapsed="false">
      <c r="A110" s="7" t="s">
        <v>1340</v>
      </c>
      <c r="B110" s="7" t="s">
        <v>392</v>
      </c>
      <c r="C110" s="8" t="n">
        <v>46261.5833333333</v>
      </c>
      <c r="D110" s="7" t="s">
        <v>1063</v>
      </c>
      <c r="E110" s="7" t="s">
        <v>1341</v>
      </c>
      <c r="F110" s="7" t="s">
        <v>1321</v>
      </c>
      <c r="G110" s="7" t="s">
        <v>1116</v>
      </c>
      <c r="H110" s="7"/>
      <c r="I110" s="7" t="s">
        <v>1322</v>
      </c>
      <c r="J110" s="7" t="str">
        <f aca="false">IF(COUNTIF(Competitions!A:A,B110)&gt;0,"OK","BROKEN")</f>
        <v>OK</v>
      </c>
    </row>
    <row r="111" customFormat="false" ht="15" hidden="false" customHeight="false" outlineLevel="0" collapsed="false">
      <c r="A111" s="7" t="s">
        <v>1342</v>
      </c>
      <c r="B111" s="7" t="s">
        <v>392</v>
      </c>
      <c r="C111" s="8" t="n">
        <v>46261.5833333333</v>
      </c>
      <c r="D111" s="7" t="s">
        <v>1343</v>
      </c>
      <c r="E111" s="7" t="s">
        <v>1158</v>
      </c>
      <c r="F111" s="7" t="s">
        <v>1321</v>
      </c>
      <c r="G111" s="7" t="s">
        <v>1116</v>
      </c>
      <c r="H111" s="7"/>
      <c r="I111" s="7" t="s">
        <v>1322</v>
      </c>
      <c r="J111" s="7" t="str">
        <f aca="false">IF(COUNTIF(Competitions!A:A,B111)&gt;0,"OK","BROKEN")</f>
        <v>OK</v>
      </c>
    </row>
    <row r="112" customFormat="false" ht="15" hidden="false" customHeight="false" outlineLevel="0" collapsed="false">
      <c r="A112" s="7" t="s">
        <v>1344</v>
      </c>
      <c r="B112" s="7" t="s">
        <v>392</v>
      </c>
      <c r="C112" s="8" t="n">
        <v>46261.5833333333</v>
      </c>
      <c r="D112" s="7" t="s">
        <v>1025</v>
      </c>
      <c r="E112" s="7" t="s">
        <v>1002</v>
      </c>
      <c r="F112" s="7" t="s">
        <v>1321</v>
      </c>
      <c r="G112" s="7" t="s">
        <v>1116</v>
      </c>
      <c r="H112" s="7"/>
      <c r="I112" s="7" t="s">
        <v>1322</v>
      </c>
      <c r="J112" s="7" t="str">
        <f aca="false">IF(COUNTIF(Competitions!A:A,B112)&gt;0,"OK","BROKEN")</f>
        <v>OK</v>
      </c>
    </row>
    <row r="113" customFormat="false" ht="15" hidden="false" customHeight="false" outlineLevel="0" collapsed="false">
      <c r="A113" s="7" t="s">
        <v>1345</v>
      </c>
      <c r="B113" s="7" t="s">
        <v>388</v>
      </c>
      <c r="C113" s="8" t="n">
        <v>46261.5833333333</v>
      </c>
      <c r="D113" s="7" t="s">
        <v>1346</v>
      </c>
      <c r="E113" s="7" t="s">
        <v>1347</v>
      </c>
      <c r="F113" s="7" t="s">
        <v>1321</v>
      </c>
      <c r="G113" s="7" t="s">
        <v>1116</v>
      </c>
      <c r="H113" s="7"/>
      <c r="I113" s="7" t="s">
        <v>1322</v>
      </c>
      <c r="J113" s="7" t="str">
        <f aca="false">IF(COUNTIF(Competitions!A:A,B113)&gt;0,"OK","BROKEN")</f>
        <v>OK</v>
      </c>
    </row>
    <row r="114" customFormat="false" ht="15" hidden="false" customHeight="false" outlineLevel="0" collapsed="false">
      <c r="A114" s="7" t="s">
        <v>1348</v>
      </c>
      <c r="B114" s="7" t="s">
        <v>378</v>
      </c>
      <c r="C114" s="8" t="n">
        <v>46261.5833333333</v>
      </c>
      <c r="D114" s="7" t="s">
        <v>1349</v>
      </c>
      <c r="E114" s="7" t="s">
        <v>1350</v>
      </c>
      <c r="F114" s="7" t="s">
        <v>1321</v>
      </c>
      <c r="G114" s="7" t="s">
        <v>1116</v>
      </c>
      <c r="H114" s="7"/>
      <c r="I114" s="7" t="s">
        <v>1322</v>
      </c>
      <c r="J114" s="7" t="str">
        <f aca="false">IF(COUNTIF(Competitions!A:A,B114)&gt;0,"OK","BROKEN")</f>
        <v>OK</v>
      </c>
    </row>
    <row r="115" customFormat="false" ht="15" hidden="false" customHeight="false" outlineLevel="0" collapsed="false">
      <c r="A115" s="7" t="s">
        <v>1351</v>
      </c>
      <c r="B115" s="7" t="s">
        <v>449</v>
      </c>
      <c r="C115" s="8" t="n">
        <v>46261.6041666667</v>
      </c>
      <c r="D115" s="7" t="s">
        <v>1076</v>
      </c>
      <c r="E115" s="7" t="s">
        <v>1060</v>
      </c>
      <c r="F115" s="7" t="s">
        <v>1335</v>
      </c>
      <c r="G115" s="7" t="s">
        <v>1116</v>
      </c>
      <c r="H115" s="7"/>
      <c r="I115" s="7" t="s">
        <v>1322</v>
      </c>
      <c r="J115" s="7" t="str">
        <f aca="false">IF(COUNTIF(Competitions!A:A,B115)&gt;0,"OK","BROKEN")</f>
        <v>OK</v>
      </c>
    </row>
    <row r="116" customFormat="false" ht="15" hidden="false" customHeight="false" outlineLevel="0" collapsed="false">
      <c r="A116" s="7" t="s">
        <v>1352</v>
      </c>
      <c r="B116" s="7" t="s">
        <v>392</v>
      </c>
      <c r="C116" s="8" t="n">
        <v>46261.6041666667</v>
      </c>
      <c r="D116" s="7" t="s">
        <v>1044</v>
      </c>
      <c r="E116" s="7" t="s">
        <v>1153</v>
      </c>
      <c r="F116" s="7" t="s">
        <v>1321</v>
      </c>
      <c r="G116" s="7" t="s">
        <v>1116</v>
      </c>
      <c r="H116" s="7"/>
      <c r="I116" s="7" t="s">
        <v>1322</v>
      </c>
      <c r="J116" s="7" t="str">
        <f aca="false">IF(COUNTIF(Competitions!A:A,B116)&gt;0,"OK","BROKEN")</f>
        <v>OK</v>
      </c>
    </row>
    <row r="117" customFormat="false" ht="15" hidden="false" customHeight="false" outlineLevel="0" collapsed="false">
      <c r="A117" s="7" t="s">
        <v>1353</v>
      </c>
      <c r="B117" s="7" t="s">
        <v>378</v>
      </c>
      <c r="C117" s="8" t="n">
        <v>46261.6041666667</v>
      </c>
      <c r="D117" s="7" t="s">
        <v>1354</v>
      </c>
      <c r="E117" s="7" t="s">
        <v>1309</v>
      </c>
      <c r="F117" s="7" t="s">
        <v>1321</v>
      </c>
      <c r="G117" s="7" t="s">
        <v>1116</v>
      </c>
      <c r="H117" s="7"/>
      <c r="I117" s="7" t="s">
        <v>1322</v>
      </c>
      <c r="J117" s="7" t="str">
        <f aca="false">IF(COUNTIF(Competitions!A:A,B117)&gt;0,"OK","BROKEN")</f>
        <v>OK</v>
      </c>
    </row>
    <row r="118" customFormat="false" ht="15" hidden="false" customHeight="false" outlineLevel="0" collapsed="false">
      <c r="A118" s="7" t="s">
        <v>1355</v>
      </c>
      <c r="B118" s="7" t="s">
        <v>384</v>
      </c>
      <c r="C118" s="8" t="n">
        <v>46261.7569444445</v>
      </c>
      <c r="D118" s="7" t="s">
        <v>1050</v>
      </c>
      <c r="E118" s="7" t="s">
        <v>1177</v>
      </c>
      <c r="F118" s="7" t="s">
        <v>1321</v>
      </c>
      <c r="G118" s="7" t="s">
        <v>1116</v>
      </c>
      <c r="H118" s="7"/>
      <c r="I118" s="7" t="s">
        <v>1322</v>
      </c>
      <c r="J118" s="7" t="str">
        <f aca="false">IF(COUNTIF(Competitions!A:A,B118)&gt;0,"OK","BROKEN")</f>
        <v>OK</v>
      </c>
    </row>
    <row r="119" customFormat="false" ht="15" hidden="false" customHeight="false" outlineLevel="0" collapsed="false">
      <c r="A119" s="7" t="s">
        <v>1356</v>
      </c>
      <c r="B119" s="7" t="s">
        <v>384</v>
      </c>
      <c r="C119" s="8" t="n">
        <v>46261.7986111111</v>
      </c>
      <c r="D119" s="7" t="s">
        <v>1024</v>
      </c>
      <c r="E119" s="7" t="s">
        <v>1176</v>
      </c>
      <c r="F119" s="7" t="s">
        <v>1321</v>
      </c>
      <c r="G119" s="7" t="s">
        <v>1116</v>
      </c>
      <c r="H119" s="7"/>
      <c r="I119" s="7" t="s">
        <v>1322</v>
      </c>
      <c r="J119" s="7" t="str">
        <f aca="false">IF(COUNTIF(Competitions!A:A,B119)&gt;0,"OK","BROKEN")</f>
        <v>OK</v>
      </c>
    </row>
    <row r="120" customFormat="false" ht="15" hidden="false" customHeight="false" outlineLevel="0" collapsed="false">
      <c r="A120" s="7" t="s">
        <v>1357</v>
      </c>
      <c r="B120" s="7" t="s">
        <v>384</v>
      </c>
      <c r="C120" s="8" t="n">
        <v>46261.7986111111</v>
      </c>
      <c r="D120" s="7" t="s">
        <v>1262</v>
      </c>
      <c r="E120" s="7" t="s">
        <v>1358</v>
      </c>
      <c r="F120" s="7" t="s">
        <v>1321</v>
      </c>
      <c r="G120" s="7" t="s">
        <v>1116</v>
      </c>
      <c r="H120" s="7"/>
      <c r="I120" s="7" t="s">
        <v>1322</v>
      </c>
      <c r="J120" s="7" t="str">
        <f aca="false">IF(COUNTIF(Competitions!A:A,B120)&gt;0,"OK","BROKEN")</f>
        <v>OK</v>
      </c>
    </row>
    <row r="121" customFormat="false" ht="15" hidden="false" customHeight="false" outlineLevel="0" collapsed="false">
      <c r="A121" s="7" t="s">
        <v>1359</v>
      </c>
      <c r="B121" s="7" t="s">
        <v>384</v>
      </c>
      <c r="C121" s="8" t="n">
        <v>46261.7986111111</v>
      </c>
      <c r="D121" s="7" t="s">
        <v>1258</v>
      </c>
      <c r="E121" s="7" t="s">
        <v>282</v>
      </c>
      <c r="F121" s="7" t="s">
        <v>1321</v>
      </c>
      <c r="G121" s="7" t="s">
        <v>1116</v>
      </c>
      <c r="H121" s="7"/>
      <c r="I121" s="7" t="s">
        <v>1322</v>
      </c>
      <c r="J121" s="7" t="str">
        <f aca="false">IF(COUNTIF(Competitions!A:A,B121)&gt;0,"OK","BROKEN")</f>
        <v>OK</v>
      </c>
    </row>
    <row r="122" customFormat="false" ht="15" hidden="false" customHeight="false" outlineLevel="0" collapsed="false">
      <c r="A122" s="7" t="s">
        <v>1360</v>
      </c>
      <c r="B122" s="7" t="s">
        <v>384</v>
      </c>
      <c r="C122" s="8" t="n">
        <v>46261.9027777778</v>
      </c>
      <c r="D122" s="7" t="s">
        <v>1264</v>
      </c>
      <c r="E122" s="7" t="s">
        <v>1168</v>
      </c>
      <c r="F122" s="7" t="s">
        <v>1321</v>
      </c>
      <c r="G122" s="7" t="s">
        <v>1116</v>
      </c>
      <c r="H122" s="7"/>
      <c r="I122" s="7" t="s">
        <v>1322</v>
      </c>
      <c r="J122" s="7" t="str">
        <f aca="false">IF(COUNTIF(Competitions!A:A,B122)&gt;0,"OK","BROKEN")</f>
        <v>OK</v>
      </c>
    </row>
    <row r="123" customFormat="false" ht="15" hidden="false" customHeight="false" outlineLevel="0" collapsed="false">
      <c r="A123" s="7" t="s">
        <v>1361</v>
      </c>
      <c r="B123" s="7" t="s">
        <v>384</v>
      </c>
      <c r="C123" s="8" t="n">
        <v>46261.9027777778</v>
      </c>
      <c r="D123" s="7" t="s">
        <v>1362</v>
      </c>
      <c r="E123" s="7" t="s">
        <v>1034</v>
      </c>
      <c r="F123" s="7" t="s">
        <v>1321</v>
      </c>
      <c r="G123" s="7" t="s">
        <v>1116</v>
      </c>
      <c r="H123" s="7"/>
      <c r="I123" s="7" t="s">
        <v>1322</v>
      </c>
      <c r="J123" s="7" t="str">
        <f aca="false">IF(COUNTIF(Competitions!A:A,B123)&gt;0,"OK","BROKEN")</f>
        <v>OK</v>
      </c>
    </row>
    <row r="124" customFormat="false" ht="15" hidden="false" customHeight="false" outlineLevel="0" collapsed="false">
      <c r="A124" s="7" t="s">
        <v>1363</v>
      </c>
      <c r="B124" s="7" t="s">
        <v>388</v>
      </c>
      <c r="C124" s="8" t="n">
        <v>46262.0833333333</v>
      </c>
      <c r="D124" s="7" t="s">
        <v>1364</v>
      </c>
      <c r="E124" s="7" t="s">
        <v>987</v>
      </c>
      <c r="F124" s="7" t="s">
        <v>1321</v>
      </c>
      <c r="G124" s="7" t="s">
        <v>1116</v>
      </c>
      <c r="H124" s="7"/>
      <c r="I124" s="7" t="s">
        <v>1322</v>
      </c>
      <c r="J124" s="7" t="str">
        <f aca="false">IF(COUNTIF(Competitions!A:A,B124)&gt;0,"OK","BROKEN")</f>
        <v>OK</v>
      </c>
    </row>
    <row r="125" customFormat="false" ht="15" hidden="false" customHeight="false" outlineLevel="0" collapsed="false">
      <c r="A125" s="7" t="s">
        <v>1365</v>
      </c>
      <c r="B125" s="7" t="s">
        <v>388</v>
      </c>
      <c r="C125" s="8" t="n">
        <v>46262.2083333333</v>
      </c>
      <c r="D125" s="7" t="s">
        <v>1366</v>
      </c>
      <c r="E125" s="7" t="s">
        <v>984</v>
      </c>
      <c r="F125" s="7" t="s">
        <v>1321</v>
      </c>
      <c r="G125" s="7" t="s">
        <v>1116</v>
      </c>
      <c r="H125" s="7"/>
      <c r="I125" s="7" t="s">
        <v>1322</v>
      </c>
      <c r="J125" s="7" t="str">
        <f aca="false">IF(COUNTIF(Competitions!A:A,B125)&gt;0,"OK","BROKEN")</f>
        <v>OK</v>
      </c>
    </row>
    <row r="126" customFormat="false" ht="15" hidden="false" customHeight="false" outlineLevel="0" collapsed="false">
      <c r="A126" s="7" t="s">
        <v>1367</v>
      </c>
      <c r="B126" s="7" t="s">
        <v>378</v>
      </c>
      <c r="C126" s="8" t="n">
        <v>46262.3333333333</v>
      </c>
      <c r="D126" s="7" t="s">
        <v>1305</v>
      </c>
      <c r="E126" s="7" t="s">
        <v>1023</v>
      </c>
      <c r="F126" s="7" t="s">
        <v>1321</v>
      </c>
      <c r="G126" s="7" t="s">
        <v>1116</v>
      </c>
      <c r="H126" s="7"/>
      <c r="I126" s="7" t="s">
        <v>1322</v>
      </c>
      <c r="J126" s="7" t="str">
        <f aca="false">IF(COUNTIF(Competitions!A:A,B126)&gt;0,"OK","BROKEN")</f>
        <v>OK</v>
      </c>
    </row>
    <row r="127" customFormat="false" ht="15" hidden="false" customHeight="false" outlineLevel="0" collapsed="false">
      <c r="A127" s="7" t="s">
        <v>1368</v>
      </c>
      <c r="B127" s="7" t="s">
        <v>388</v>
      </c>
      <c r="C127" s="8" t="n">
        <v>46262.3541666667</v>
      </c>
      <c r="D127" s="7" t="s">
        <v>1369</v>
      </c>
      <c r="E127" s="7" t="s">
        <v>1069</v>
      </c>
      <c r="F127" s="7" t="s">
        <v>1321</v>
      </c>
      <c r="G127" s="7" t="s">
        <v>1116</v>
      </c>
      <c r="H127" s="7"/>
      <c r="I127" s="7" t="s">
        <v>1322</v>
      </c>
      <c r="J127" s="7" t="str">
        <f aca="false">IF(COUNTIF(Competitions!A:A,B127)&gt;0,"OK","BROKEN")</f>
        <v>OK</v>
      </c>
    </row>
    <row r="128" customFormat="false" ht="15" hidden="false" customHeight="false" outlineLevel="0" collapsed="false">
      <c r="A128" s="7" t="s">
        <v>1370</v>
      </c>
      <c r="B128" s="7" t="s">
        <v>378</v>
      </c>
      <c r="C128" s="8" t="n">
        <v>46262.4583333333</v>
      </c>
      <c r="D128" s="7" t="s">
        <v>1350</v>
      </c>
      <c r="E128" s="7" t="s">
        <v>1320</v>
      </c>
      <c r="F128" s="7" t="s">
        <v>1321</v>
      </c>
      <c r="G128" s="7" t="s">
        <v>1116</v>
      </c>
      <c r="H128" s="7"/>
      <c r="I128" s="7" t="s">
        <v>1322</v>
      </c>
      <c r="J128" s="7" t="str">
        <f aca="false">IF(COUNTIF(Competitions!A:A,B128)&gt;0,"OK","BROKEN")</f>
        <v>OK</v>
      </c>
    </row>
    <row r="129" customFormat="false" ht="15" hidden="false" customHeight="false" outlineLevel="0" collapsed="false">
      <c r="A129" s="7" t="s">
        <v>1371</v>
      </c>
      <c r="B129" s="7" t="s">
        <v>392</v>
      </c>
      <c r="C129" s="8" t="n">
        <v>46262.4791666667</v>
      </c>
      <c r="D129" s="7" t="s">
        <v>1372</v>
      </c>
      <c r="E129" s="7" t="s">
        <v>1373</v>
      </c>
      <c r="F129" s="7" t="s">
        <v>1321</v>
      </c>
      <c r="G129" s="7" t="s">
        <v>1116</v>
      </c>
      <c r="H129" s="7"/>
      <c r="I129" s="7" t="s">
        <v>1322</v>
      </c>
      <c r="J129" s="7" t="str">
        <f aca="false">IF(COUNTIF(Competitions!A:A,B129)&gt;0,"OK","BROKEN")</f>
        <v>OK</v>
      </c>
    </row>
    <row r="130" customFormat="false" ht="15" hidden="false" customHeight="false" outlineLevel="0" collapsed="false">
      <c r="A130" s="7" t="s">
        <v>1374</v>
      </c>
      <c r="B130" s="7" t="s">
        <v>392</v>
      </c>
      <c r="C130" s="8" t="n">
        <v>46262.5</v>
      </c>
      <c r="D130" s="7" t="s">
        <v>1159</v>
      </c>
      <c r="E130" s="7" t="s">
        <v>1055</v>
      </c>
      <c r="F130" s="7" t="s">
        <v>1321</v>
      </c>
      <c r="G130" s="7" t="s">
        <v>1116</v>
      </c>
      <c r="H130" s="7"/>
      <c r="I130" s="7" t="s">
        <v>1322</v>
      </c>
      <c r="J130" s="7" t="str">
        <f aca="false">IF(COUNTIF(Competitions!A:A,B130)&gt;0,"OK","BROKEN")</f>
        <v>OK</v>
      </c>
    </row>
    <row r="131" customFormat="false" ht="15" hidden="false" customHeight="false" outlineLevel="0" collapsed="false">
      <c r="A131" s="7" t="s">
        <v>1375</v>
      </c>
      <c r="B131" s="7" t="s">
        <v>392</v>
      </c>
      <c r="C131" s="8" t="n">
        <v>46262.5833333333</v>
      </c>
      <c r="D131" s="7" t="s">
        <v>1376</v>
      </c>
      <c r="E131" s="7" t="s">
        <v>1022</v>
      </c>
      <c r="F131" s="7" t="s">
        <v>1321</v>
      </c>
      <c r="G131" s="7" t="s">
        <v>1116</v>
      </c>
      <c r="H131" s="7"/>
      <c r="I131" s="7" t="s">
        <v>1322</v>
      </c>
      <c r="J131" s="7" t="str">
        <f aca="false">IF(COUNTIF(Competitions!A:A,B131)&gt;0,"OK","BROKEN")</f>
        <v>OK</v>
      </c>
    </row>
    <row r="132" customFormat="false" ht="15" hidden="false" customHeight="false" outlineLevel="0" collapsed="false">
      <c r="A132" s="7" t="s">
        <v>1377</v>
      </c>
      <c r="B132" s="7" t="s">
        <v>392</v>
      </c>
      <c r="C132" s="8" t="n">
        <v>46262.5833333333</v>
      </c>
      <c r="D132" s="7" t="s">
        <v>1057</v>
      </c>
      <c r="E132" s="7" t="s">
        <v>1378</v>
      </c>
      <c r="F132" s="7" t="s">
        <v>1321</v>
      </c>
      <c r="G132" s="7" t="s">
        <v>1116</v>
      </c>
      <c r="H132" s="7"/>
      <c r="I132" s="7" t="s">
        <v>1322</v>
      </c>
      <c r="J132" s="7" t="str">
        <f aca="false">IF(COUNTIF(Competitions!A:A,B132)&gt;0,"OK","BROKEN")</f>
        <v>OK</v>
      </c>
    </row>
    <row r="133" customFormat="false" ht="15" hidden="false" customHeight="false" outlineLevel="0" collapsed="false">
      <c r="A133" s="7" t="s">
        <v>1379</v>
      </c>
      <c r="B133" s="7" t="s">
        <v>392</v>
      </c>
      <c r="C133" s="8" t="n">
        <v>46262.5833333333</v>
      </c>
      <c r="D133" s="7" t="s">
        <v>1380</v>
      </c>
      <c r="E133" s="7" t="s">
        <v>1171</v>
      </c>
      <c r="F133" s="7" t="s">
        <v>1321</v>
      </c>
      <c r="G133" s="7" t="s">
        <v>1116</v>
      </c>
      <c r="H133" s="7"/>
      <c r="I133" s="7" t="s">
        <v>1322</v>
      </c>
      <c r="J133" s="7" t="str">
        <f aca="false">IF(COUNTIF(Competitions!A:A,B133)&gt;0,"OK","BROKEN")</f>
        <v>OK</v>
      </c>
    </row>
    <row r="134" customFormat="false" ht="15" hidden="false" customHeight="false" outlineLevel="0" collapsed="false">
      <c r="A134" s="7" t="s">
        <v>1381</v>
      </c>
      <c r="B134" s="7" t="s">
        <v>378</v>
      </c>
      <c r="C134" s="8" t="n">
        <v>46262.5833333333</v>
      </c>
      <c r="D134" s="7" t="s">
        <v>1066</v>
      </c>
      <c r="E134" s="7" t="s">
        <v>1349</v>
      </c>
      <c r="F134" s="7" t="s">
        <v>1321</v>
      </c>
      <c r="G134" s="7" t="s">
        <v>1116</v>
      </c>
      <c r="H134" s="7"/>
      <c r="I134" s="7" t="s">
        <v>1322</v>
      </c>
      <c r="J134" s="7" t="str">
        <f aca="false">IF(COUNTIF(Competitions!A:A,B134)&gt;0,"OK","BROKEN")</f>
        <v>OK</v>
      </c>
    </row>
    <row r="135" customFormat="false" ht="15" hidden="false" customHeight="false" outlineLevel="0" collapsed="false">
      <c r="A135" s="7" t="s">
        <v>1382</v>
      </c>
      <c r="B135" s="7" t="s">
        <v>392</v>
      </c>
      <c r="C135" s="8" t="n">
        <v>46262.625</v>
      </c>
      <c r="D135" s="7" t="s">
        <v>1031</v>
      </c>
      <c r="E135" s="7" t="s">
        <v>1383</v>
      </c>
      <c r="F135" s="7" t="s">
        <v>1321</v>
      </c>
      <c r="G135" s="7" t="s">
        <v>1116</v>
      </c>
      <c r="H135" s="7"/>
      <c r="I135" s="7" t="s">
        <v>1322</v>
      </c>
      <c r="J135" s="7" t="str">
        <f aca="false">IF(COUNTIF(Competitions!A:A,B135)&gt;0,"OK","BROKEN")</f>
        <v>OK</v>
      </c>
    </row>
    <row r="136" customFormat="false" ht="15" hidden="false" customHeight="false" outlineLevel="0" collapsed="false">
      <c r="A136" s="7" t="s">
        <v>1384</v>
      </c>
      <c r="B136" s="7" t="s">
        <v>378</v>
      </c>
      <c r="C136" s="8" t="n">
        <v>46263.3541666667</v>
      </c>
      <c r="D136" s="7" t="s">
        <v>1329</v>
      </c>
      <c r="E136" s="7" t="s">
        <v>1354</v>
      </c>
      <c r="F136" s="7" t="s">
        <v>1321</v>
      </c>
      <c r="G136" s="7" t="s">
        <v>1116</v>
      </c>
      <c r="H136" s="7"/>
      <c r="I136" s="7" t="s">
        <v>1322</v>
      </c>
      <c r="J136" s="7" t="str">
        <f aca="false">IF(COUNTIF(Competitions!A:A,B136)&gt;0,"OK","BROKEN")</f>
        <v>OK</v>
      </c>
    </row>
    <row r="137" customFormat="false" ht="15" hidden="false" customHeight="false" outlineLevel="0" collapsed="false">
      <c r="A137" s="7" t="s">
        <v>1385</v>
      </c>
      <c r="B137" s="7" t="s">
        <v>378</v>
      </c>
      <c r="C137" s="8" t="n">
        <v>46263.4791666667</v>
      </c>
      <c r="D137" s="7" t="s">
        <v>1325</v>
      </c>
      <c r="E137" s="7" t="s">
        <v>1328</v>
      </c>
      <c r="F137" s="7" t="s">
        <v>1321</v>
      </c>
      <c r="G137" s="7" t="s">
        <v>1116</v>
      </c>
      <c r="H137" s="7"/>
      <c r="I137" s="7" t="s">
        <v>1322</v>
      </c>
      <c r="J137" s="7" t="str">
        <f aca="false">IF(COUNTIF(Competitions!A:A,B137)&gt;0,"OK","BROKEN")</f>
        <v>OK</v>
      </c>
    </row>
    <row r="138" customFormat="false" ht="15" hidden="false" customHeight="false" outlineLevel="0" collapsed="false">
      <c r="A138" s="7" t="s">
        <v>1386</v>
      </c>
      <c r="B138" s="7" t="s">
        <v>378</v>
      </c>
      <c r="C138" s="8" t="n">
        <v>46263.6041666667</v>
      </c>
      <c r="D138" s="7" t="s">
        <v>1309</v>
      </c>
      <c r="E138" s="7" t="s">
        <v>1324</v>
      </c>
      <c r="F138" s="7" t="s">
        <v>1321</v>
      </c>
      <c r="G138" s="7" t="s">
        <v>1116</v>
      </c>
      <c r="H138" s="7"/>
      <c r="I138" s="7" t="s">
        <v>1322</v>
      </c>
      <c r="J138" s="7" t="str">
        <f aca="false">IF(COUNTIF(Competitions!A:A,B138)&gt;0,"OK","BROKEN")</f>
        <v>OK</v>
      </c>
    </row>
    <row r="139" customFormat="false" ht="15" hidden="false" customHeight="false" outlineLevel="0" collapsed="false">
      <c r="A139" s="7" t="s">
        <v>1387</v>
      </c>
      <c r="B139" s="7" t="s">
        <v>388</v>
      </c>
      <c r="C139" s="8" t="n">
        <v>46264.0833333333</v>
      </c>
      <c r="D139" s="7" t="s">
        <v>987</v>
      </c>
      <c r="E139" s="7" t="s">
        <v>1366</v>
      </c>
      <c r="F139" s="7" t="s">
        <v>1321</v>
      </c>
      <c r="G139" s="7" t="s">
        <v>1116</v>
      </c>
      <c r="H139" s="7"/>
      <c r="I139" s="7" t="s">
        <v>1322</v>
      </c>
      <c r="J139" s="7" t="str">
        <f aca="false">IF(COUNTIF(Competitions!A:A,B139)&gt;0,"OK","BROKEN")</f>
        <v>OK</v>
      </c>
    </row>
    <row r="140" customFormat="false" ht="15" hidden="false" customHeight="false" outlineLevel="0" collapsed="false">
      <c r="A140" s="7" t="s">
        <v>1388</v>
      </c>
      <c r="B140" s="7" t="s">
        <v>388</v>
      </c>
      <c r="C140" s="8" t="n">
        <v>46264.2083333333</v>
      </c>
      <c r="D140" s="7" t="s">
        <v>984</v>
      </c>
      <c r="E140" s="7" t="s">
        <v>1369</v>
      </c>
      <c r="F140" s="7" t="s">
        <v>1321</v>
      </c>
      <c r="G140" s="7" t="s">
        <v>1116</v>
      </c>
      <c r="H140" s="7"/>
      <c r="I140" s="7" t="s">
        <v>1322</v>
      </c>
      <c r="J140" s="7" t="str">
        <f aca="false">IF(COUNTIF(Competitions!A:A,B140)&gt;0,"OK","BROKEN")</f>
        <v>OK</v>
      </c>
    </row>
    <row r="141" customFormat="false" ht="15" hidden="false" customHeight="false" outlineLevel="0" collapsed="false">
      <c r="A141" s="7" t="s">
        <v>1389</v>
      </c>
      <c r="B141" s="7" t="s">
        <v>378</v>
      </c>
      <c r="C141" s="8" t="n">
        <v>46264.3333333333</v>
      </c>
      <c r="D141" s="7" t="s">
        <v>1023</v>
      </c>
      <c r="E141" s="7" t="s">
        <v>1350</v>
      </c>
      <c r="F141" s="7" t="s">
        <v>1321</v>
      </c>
      <c r="G141" s="7" t="s">
        <v>1116</v>
      </c>
      <c r="H141" s="7"/>
      <c r="I141" s="7" t="s">
        <v>1322</v>
      </c>
      <c r="J141" s="7" t="str">
        <f aca="false">IF(COUNTIF(Competitions!A:A,B141)&gt;0,"OK","BROKEN")</f>
        <v>OK</v>
      </c>
    </row>
    <row r="142" customFormat="false" ht="15" hidden="false" customHeight="false" outlineLevel="0" collapsed="false">
      <c r="A142" s="7" t="s">
        <v>1390</v>
      </c>
      <c r="B142" s="7" t="s">
        <v>388</v>
      </c>
      <c r="C142" s="8" t="n">
        <v>46264.3333333333</v>
      </c>
      <c r="D142" s="7" t="s">
        <v>1069</v>
      </c>
      <c r="E142" s="7" t="s">
        <v>1364</v>
      </c>
      <c r="F142" s="7" t="s">
        <v>1321</v>
      </c>
      <c r="G142" s="7" t="s">
        <v>1116</v>
      </c>
      <c r="H142" s="7"/>
      <c r="I142" s="7" t="s">
        <v>1322</v>
      </c>
      <c r="J142" s="7" t="str">
        <f aca="false">IF(COUNTIF(Competitions!A:A,B142)&gt;0,"OK","BROKEN")</f>
        <v>OK</v>
      </c>
    </row>
    <row r="143" customFormat="false" ht="15" hidden="false" customHeight="false" outlineLevel="0" collapsed="false">
      <c r="A143" s="7" t="s">
        <v>1391</v>
      </c>
      <c r="B143" s="7" t="s">
        <v>392</v>
      </c>
      <c r="C143" s="8" t="n">
        <v>46264.3541666667</v>
      </c>
      <c r="D143" s="7" t="s">
        <v>1002</v>
      </c>
      <c r="E143" s="7" t="s">
        <v>1063</v>
      </c>
      <c r="F143" s="7" t="s">
        <v>1321</v>
      </c>
      <c r="G143" s="7" t="s">
        <v>1116</v>
      </c>
      <c r="H143" s="7"/>
      <c r="I143" s="7" t="s">
        <v>1322</v>
      </c>
      <c r="J143" s="7" t="str">
        <f aca="false">IF(COUNTIF(Competitions!A:A,B143)&gt;0,"OK","BROKEN")</f>
        <v>OK</v>
      </c>
    </row>
    <row r="144" customFormat="false" ht="15" hidden="false" customHeight="false" outlineLevel="0" collapsed="false">
      <c r="A144" s="7" t="s">
        <v>1392</v>
      </c>
      <c r="B144" s="7" t="s">
        <v>378</v>
      </c>
      <c r="C144" s="8" t="n">
        <v>46264.3541666667</v>
      </c>
      <c r="D144" s="7" t="s">
        <v>1354</v>
      </c>
      <c r="E144" s="7" t="s">
        <v>1325</v>
      </c>
      <c r="F144" s="7" t="s">
        <v>1321</v>
      </c>
      <c r="G144" s="7" t="s">
        <v>1116</v>
      </c>
      <c r="H144" s="7"/>
      <c r="I144" s="7" t="s">
        <v>1322</v>
      </c>
      <c r="J144" s="7" t="str">
        <f aca="false">IF(COUNTIF(Competitions!A:A,B144)&gt;0,"OK","BROKEN")</f>
        <v>OK</v>
      </c>
    </row>
    <row r="145" customFormat="false" ht="15" hidden="false" customHeight="false" outlineLevel="0" collapsed="false">
      <c r="A145" s="7" t="s">
        <v>1393</v>
      </c>
      <c r="B145" s="7" t="s">
        <v>392</v>
      </c>
      <c r="C145" s="8" t="n">
        <v>46264.3645833333</v>
      </c>
      <c r="D145" s="7" t="s">
        <v>1158</v>
      </c>
      <c r="E145" s="7" t="s">
        <v>1025</v>
      </c>
      <c r="F145" s="7" t="s">
        <v>1321</v>
      </c>
      <c r="G145" s="7" t="s">
        <v>1116</v>
      </c>
      <c r="H145" s="7"/>
      <c r="I145" s="7" t="s">
        <v>1322</v>
      </c>
      <c r="J145" s="7" t="str">
        <f aca="false">IF(COUNTIF(Competitions!A:A,B145)&gt;0,"OK","BROKEN")</f>
        <v>OK</v>
      </c>
    </row>
    <row r="146" customFormat="false" ht="15" hidden="false" customHeight="false" outlineLevel="0" collapsed="false">
      <c r="A146" s="7" t="s">
        <v>1394</v>
      </c>
      <c r="B146" s="7" t="s">
        <v>449</v>
      </c>
      <c r="C146" s="8" t="n">
        <v>46264.4201388889</v>
      </c>
      <c r="D146" s="7" t="s">
        <v>1053</v>
      </c>
      <c r="E146" s="7" t="s">
        <v>1395</v>
      </c>
      <c r="F146" s="7" t="s">
        <v>1335</v>
      </c>
      <c r="G146" s="7" t="s">
        <v>1116</v>
      </c>
      <c r="H146" s="7"/>
      <c r="I146" s="7" t="s">
        <v>1322</v>
      </c>
      <c r="J146" s="7" t="str">
        <f aca="false">IF(COUNTIF(Competitions!A:A,B146)&gt;0,"OK","BROKEN")</f>
        <v>OK</v>
      </c>
    </row>
    <row r="147" customFormat="false" ht="15" hidden="false" customHeight="false" outlineLevel="0" collapsed="false">
      <c r="A147" s="7" t="s">
        <v>1396</v>
      </c>
      <c r="B147" s="7" t="s">
        <v>449</v>
      </c>
      <c r="C147" s="8" t="n">
        <v>46264.4583333333</v>
      </c>
      <c r="D147" s="7" t="s">
        <v>1051</v>
      </c>
      <c r="E147" s="7" t="s">
        <v>1075</v>
      </c>
      <c r="F147" s="7" t="s">
        <v>1335</v>
      </c>
      <c r="G147" s="7" t="s">
        <v>1116</v>
      </c>
      <c r="H147" s="7"/>
      <c r="I147" s="7" t="s">
        <v>1322</v>
      </c>
      <c r="J147" s="7" t="str">
        <f aca="false">IF(COUNTIF(Competitions!A:A,B147)&gt;0,"OK","BROKEN")</f>
        <v>OK</v>
      </c>
    </row>
    <row r="148" customFormat="false" ht="15" hidden="false" customHeight="false" outlineLevel="0" collapsed="false">
      <c r="A148" s="7" t="s">
        <v>1397</v>
      </c>
      <c r="B148" s="7" t="s">
        <v>378</v>
      </c>
      <c r="C148" s="8" t="n">
        <v>46264.4583333333</v>
      </c>
      <c r="D148" s="7" t="s">
        <v>1320</v>
      </c>
      <c r="E148" s="7" t="s">
        <v>1066</v>
      </c>
      <c r="F148" s="7" t="s">
        <v>1321</v>
      </c>
      <c r="G148" s="7" t="s">
        <v>1116</v>
      </c>
      <c r="H148" s="7"/>
      <c r="I148" s="7" t="s">
        <v>1322</v>
      </c>
      <c r="J148" s="7" t="str">
        <f aca="false">IF(COUNTIF(Competitions!A:A,B148)&gt;0,"OK","BROKEN")</f>
        <v>OK</v>
      </c>
    </row>
    <row r="149" customFormat="false" ht="15" hidden="false" customHeight="false" outlineLevel="0" collapsed="false">
      <c r="A149" s="7" t="s">
        <v>1398</v>
      </c>
      <c r="B149" s="7" t="s">
        <v>392</v>
      </c>
      <c r="C149" s="8" t="n">
        <v>46264.4791666667</v>
      </c>
      <c r="D149" s="7" t="s">
        <v>1036</v>
      </c>
      <c r="E149" s="7" t="s">
        <v>1044</v>
      </c>
      <c r="F149" s="7" t="s">
        <v>1321</v>
      </c>
      <c r="G149" s="7" t="s">
        <v>1116</v>
      </c>
      <c r="H149" s="7"/>
      <c r="I149" s="7" t="s">
        <v>1322</v>
      </c>
      <c r="J149" s="7" t="str">
        <f aca="false">IF(COUNTIF(Competitions!A:A,B149)&gt;0,"OK","BROKEN")</f>
        <v>OK</v>
      </c>
    </row>
    <row r="150" customFormat="false" ht="15" hidden="false" customHeight="false" outlineLevel="0" collapsed="false">
      <c r="A150" s="7" t="s">
        <v>1399</v>
      </c>
      <c r="B150" s="7" t="s">
        <v>378</v>
      </c>
      <c r="C150" s="8" t="n">
        <v>46264.4791666667</v>
      </c>
      <c r="D150" s="7" t="s">
        <v>1324</v>
      </c>
      <c r="E150" s="7" t="s">
        <v>1329</v>
      </c>
      <c r="F150" s="7" t="s">
        <v>1321</v>
      </c>
      <c r="G150" s="7" t="s">
        <v>1116</v>
      </c>
      <c r="H150" s="7"/>
      <c r="I150" s="7" t="s">
        <v>1322</v>
      </c>
      <c r="J150" s="7" t="str">
        <f aca="false">IF(COUNTIF(Competitions!A:A,B150)&gt;0,"OK","BROKEN")</f>
        <v>OK</v>
      </c>
    </row>
    <row r="151" customFormat="false" ht="15" hidden="false" customHeight="false" outlineLevel="0" collapsed="false">
      <c r="A151" s="7" t="s">
        <v>1400</v>
      </c>
      <c r="B151" s="7" t="s">
        <v>449</v>
      </c>
      <c r="C151" s="8" t="n">
        <v>46264.5</v>
      </c>
      <c r="D151" s="7" t="s">
        <v>1338</v>
      </c>
      <c r="E151" s="7" t="s">
        <v>1161</v>
      </c>
      <c r="F151" s="7" t="s">
        <v>1335</v>
      </c>
      <c r="G151" s="7" t="s">
        <v>1116</v>
      </c>
      <c r="H151" s="7"/>
      <c r="I151" s="7" t="s">
        <v>1322</v>
      </c>
      <c r="J151" s="7" t="str">
        <f aca="false">IF(COUNTIF(Competitions!A:A,B151)&gt;0,"OK","BROKEN")</f>
        <v>OK</v>
      </c>
    </row>
    <row r="152" customFormat="false" ht="15" hidden="false" customHeight="false" outlineLevel="0" collapsed="false">
      <c r="A152" s="7" t="s">
        <v>1401</v>
      </c>
      <c r="B152" s="7" t="s">
        <v>392</v>
      </c>
      <c r="C152" s="8" t="n">
        <v>46264.5</v>
      </c>
      <c r="D152" s="7" t="s">
        <v>1059</v>
      </c>
      <c r="E152" s="7" t="s">
        <v>1062</v>
      </c>
      <c r="F152" s="7" t="s">
        <v>1321</v>
      </c>
      <c r="G152" s="7" t="s">
        <v>1116</v>
      </c>
      <c r="H152" s="7"/>
      <c r="I152" s="7" t="s">
        <v>1322</v>
      </c>
      <c r="J152" s="7" t="str">
        <f aca="false">IF(COUNTIF(Competitions!A:A,B152)&gt;0,"OK","BROKEN")</f>
        <v>OK</v>
      </c>
    </row>
    <row r="153" customFormat="false" ht="15" hidden="false" customHeight="false" outlineLevel="0" collapsed="false">
      <c r="A153" s="7" t="s">
        <v>1402</v>
      </c>
      <c r="B153" s="7" t="s">
        <v>392</v>
      </c>
      <c r="C153" s="8" t="n">
        <v>46264.5</v>
      </c>
      <c r="D153" s="7" t="s">
        <v>1341</v>
      </c>
      <c r="E153" s="7" t="s">
        <v>1343</v>
      </c>
      <c r="F153" s="7" t="s">
        <v>1321</v>
      </c>
      <c r="G153" s="7" t="s">
        <v>1116</v>
      </c>
      <c r="H153" s="7"/>
      <c r="I153" s="7" t="s">
        <v>1322</v>
      </c>
      <c r="J153" s="7" t="str">
        <f aca="false">IF(COUNTIF(Competitions!A:A,B153)&gt;0,"OK","BROKEN")</f>
        <v>OK</v>
      </c>
    </row>
    <row r="154" customFormat="false" ht="15" hidden="false" customHeight="false" outlineLevel="0" collapsed="false">
      <c r="A154" s="7" t="s">
        <v>1403</v>
      </c>
      <c r="B154" s="7" t="s">
        <v>449</v>
      </c>
      <c r="C154" s="8" t="n">
        <v>46264.5208333333</v>
      </c>
      <c r="D154" s="7" t="s">
        <v>1060</v>
      </c>
      <c r="E154" s="7" t="s">
        <v>1058</v>
      </c>
      <c r="F154" s="7" t="s">
        <v>1335</v>
      </c>
      <c r="G154" s="7" t="s">
        <v>1116</v>
      </c>
      <c r="H154" s="7"/>
      <c r="I154" s="7" t="s">
        <v>1322</v>
      </c>
      <c r="J154" s="7" t="str">
        <f aca="false">IF(COUNTIF(Competitions!A:A,B154)&gt;0,"OK","BROKEN")</f>
        <v>OK</v>
      </c>
    </row>
    <row r="155" customFormat="false" ht="15" hidden="false" customHeight="false" outlineLevel="0" collapsed="false">
      <c r="A155" s="7" t="s">
        <v>1404</v>
      </c>
      <c r="B155" s="7" t="s">
        <v>392</v>
      </c>
      <c r="C155" s="8" t="n">
        <v>46264.5833333333</v>
      </c>
      <c r="D155" s="7" t="s">
        <v>1153</v>
      </c>
      <c r="E155" s="7" t="s">
        <v>1333</v>
      </c>
      <c r="F155" s="7" t="s">
        <v>1321</v>
      </c>
      <c r="G155" s="7" t="s">
        <v>1116</v>
      </c>
      <c r="H155" s="7"/>
      <c r="I155" s="7" t="s">
        <v>1322</v>
      </c>
      <c r="J155" s="7" t="str">
        <f aca="false">IF(COUNTIF(Competitions!A:A,B155)&gt;0,"OK","BROKEN")</f>
        <v>OK</v>
      </c>
    </row>
    <row r="156" customFormat="false" ht="15" hidden="false" customHeight="false" outlineLevel="0" collapsed="false">
      <c r="A156" s="7" t="s">
        <v>1405</v>
      </c>
      <c r="B156" s="7" t="s">
        <v>378</v>
      </c>
      <c r="C156" s="8" t="n">
        <v>46264.5833333333</v>
      </c>
      <c r="D156" s="7" t="s">
        <v>1349</v>
      </c>
      <c r="E156" s="7" t="s">
        <v>1305</v>
      </c>
      <c r="F156" s="7" t="s">
        <v>1321</v>
      </c>
      <c r="G156" s="7" t="s">
        <v>1116</v>
      </c>
      <c r="H156" s="7"/>
      <c r="I156" s="7" t="s">
        <v>1322</v>
      </c>
      <c r="J156" s="7" t="str">
        <f aca="false">IF(COUNTIF(Competitions!A:A,B156)&gt;0,"OK","BROKEN")</f>
        <v>OK</v>
      </c>
    </row>
    <row r="157" customFormat="false" ht="15" hidden="false" customHeight="false" outlineLevel="0" collapsed="false">
      <c r="A157" s="7" t="s">
        <v>1406</v>
      </c>
      <c r="B157" s="7" t="s">
        <v>378</v>
      </c>
      <c r="C157" s="8" t="n">
        <v>46264.6041666667</v>
      </c>
      <c r="D157" s="7" t="s">
        <v>1328</v>
      </c>
      <c r="E157" s="7" t="s">
        <v>1309</v>
      </c>
      <c r="F157" s="7" t="s">
        <v>1321</v>
      </c>
      <c r="G157" s="7" t="s">
        <v>1116</v>
      </c>
      <c r="H157" s="7"/>
      <c r="I157" s="7" t="s">
        <v>1322</v>
      </c>
      <c r="J157" s="7" t="str">
        <f aca="false">IF(COUNTIF(Competitions!A:A,B157)&gt;0,"OK","BROKEN")</f>
        <v>OK</v>
      </c>
    </row>
    <row r="158" customFormat="false" ht="15" hidden="false" customHeight="false" outlineLevel="0" collapsed="false">
      <c r="A158" s="7" t="s">
        <v>1407</v>
      </c>
      <c r="B158" s="7" t="s">
        <v>388</v>
      </c>
      <c r="C158" s="8" t="n">
        <v>46265.25</v>
      </c>
      <c r="D158" s="7" t="s">
        <v>1347</v>
      </c>
      <c r="E158" s="7" t="s">
        <v>1072</v>
      </c>
      <c r="F158" s="7" t="s">
        <v>1321</v>
      </c>
      <c r="G158" s="7" t="s">
        <v>1116</v>
      </c>
      <c r="H158" s="7"/>
      <c r="I158" s="7" t="s">
        <v>1322</v>
      </c>
      <c r="J158" s="7" t="str">
        <f aca="false">IF(COUNTIF(Competitions!A:A,B158)&gt;0,"OK","BROKEN")</f>
        <v>OK</v>
      </c>
    </row>
    <row r="159" customFormat="false" ht="15" hidden="false" customHeight="false" outlineLevel="0" collapsed="false">
      <c r="A159" s="7" t="s">
        <v>1408</v>
      </c>
      <c r="B159" s="7" t="s">
        <v>388</v>
      </c>
      <c r="C159" s="8" t="n">
        <v>46265.2569444445</v>
      </c>
      <c r="D159" s="7" t="s">
        <v>1038</v>
      </c>
      <c r="E159" s="7" t="s">
        <v>1061</v>
      </c>
      <c r="F159" s="7" t="s">
        <v>1321</v>
      </c>
      <c r="G159" s="7" t="s">
        <v>1116</v>
      </c>
      <c r="H159" s="7"/>
      <c r="I159" s="7" t="s">
        <v>1322</v>
      </c>
      <c r="J159" s="7" t="str">
        <f aca="false">IF(COUNTIF(Competitions!A:A,B159)&gt;0,"OK","BROKEN")</f>
        <v>OK</v>
      </c>
    </row>
    <row r="160" customFormat="false" ht="15" hidden="false" customHeight="false" outlineLevel="0" collapsed="false">
      <c r="A160" s="7" t="s">
        <v>1409</v>
      </c>
      <c r="B160" s="7" t="s">
        <v>388</v>
      </c>
      <c r="C160" s="8" t="n">
        <v>46265.3125</v>
      </c>
      <c r="D160" s="7" t="s">
        <v>1040</v>
      </c>
      <c r="E160" s="7" t="s">
        <v>1346</v>
      </c>
      <c r="F160" s="7" t="s">
        <v>1321</v>
      </c>
      <c r="G160" s="7" t="s">
        <v>1116</v>
      </c>
      <c r="H160" s="7"/>
      <c r="I160" s="7" t="s">
        <v>1322</v>
      </c>
      <c r="J160" s="7" t="str">
        <f aca="false">IF(COUNTIF(Competitions!A:A,B160)&gt;0,"OK","BROKEN")</f>
        <v>OK</v>
      </c>
    </row>
    <row r="161" customFormat="false" ht="15" hidden="false" customHeight="false" outlineLevel="0" collapsed="false">
      <c r="A161" s="7" t="s">
        <v>1410</v>
      </c>
      <c r="B161" s="7" t="s">
        <v>392</v>
      </c>
      <c r="C161" s="8" t="n">
        <v>46265.4791666667</v>
      </c>
      <c r="D161" s="7" t="s">
        <v>1171</v>
      </c>
      <c r="E161" s="7" t="s">
        <v>1376</v>
      </c>
      <c r="F161" s="7" t="s">
        <v>1321</v>
      </c>
      <c r="G161" s="7" t="s">
        <v>1116</v>
      </c>
      <c r="H161" s="7"/>
      <c r="I161" s="7" t="s">
        <v>1322</v>
      </c>
      <c r="J161" s="7" t="str">
        <f aca="false">IF(COUNTIF(Competitions!A:A,B161)&gt;0,"OK","BROKEN")</f>
        <v>OK</v>
      </c>
    </row>
    <row r="162" customFormat="false" ht="15" hidden="false" customHeight="false" outlineLevel="0" collapsed="false">
      <c r="A162" s="7" t="s">
        <v>1411</v>
      </c>
      <c r="B162" s="7" t="s">
        <v>392</v>
      </c>
      <c r="C162" s="8" t="n">
        <v>46265.5</v>
      </c>
      <c r="D162" s="7" t="s">
        <v>1055</v>
      </c>
      <c r="E162" s="7" t="s">
        <v>1031</v>
      </c>
      <c r="F162" s="7" t="s">
        <v>1321</v>
      </c>
      <c r="G162" s="7" t="s">
        <v>1116</v>
      </c>
      <c r="H162" s="7"/>
      <c r="I162" s="7" t="s">
        <v>1322</v>
      </c>
      <c r="J162" s="7" t="str">
        <f aca="false">IF(COUNTIF(Competitions!A:A,B162)&gt;0,"OK","BROKEN")</f>
        <v>OK</v>
      </c>
    </row>
    <row r="163" customFormat="false" ht="15" hidden="false" customHeight="false" outlineLevel="0" collapsed="false">
      <c r="A163" s="7" t="s">
        <v>1412</v>
      </c>
      <c r="B163" s="7" t="s">
        <v>392</v>
      </c>
      <c r="C163" s="8" t="n">
        <v>46265.5625</v>
      </c>
      <c r="D163" s="7" t="s">
        <v>1022</v>
      </c>
      <c r="E163" s="7" t="s">
        <v>1057</v>
      </c>
      <c r="F163" s="7" t="s">
        <v>1321</v>
      </c>
      <c r="G163" s="7" t="s">
        <v>1116</v>
      </c>
      <c r="H163" s="7"/>
      <c r="I163" s="7" t="s">
        <v>1322</v>
      </c>
      <c r="J163" s="7" t="str">
        <f aca="false">IF(COUNTIF(Competitions!A:A,B163)&gt;0,"OK","BROKEN")</f>
        <v>OK</v>
      </c>
    </row>
    <row r="164" customFormat="false" ht="15" hidden="false" customHeight="false" outlineLevel="0" collapsed="false">
      <c r="A164" s="7" t="s">
        <v>1413</v>
      </c>
      <c r="B164" s="7" t="s">
        <v>392</v>
      </c>
      <c r="C164" s="8" t="n">
        <v>46265.5833333333</v>
      </c>
      <c r="D164" s="7" t="s">
        <v>1383</v>
      </c>
      <c r="E164" s="7" t="s">
        <v>1372</v>
      </c>
      <c r="F164" s="7" t="s">
        <v>1321</v>
      </c>
      <c r="G164" s="7" t="s">
        <v>1116</v>
      </c>
      <c r="H164" s="7"/>
      <c r="I164" s="7" t="s">
        <v>1322</v>
      </c>
      <c r="J164" s="7" t="str">
        <f aca="false">IF(COUNTIF(Competitions!A:A,B164)&gt;0,"OK","BROKEN")</f>
        <v>OK</v>
      </c>
    </row>
    <row r="165" customFormat="false" ht="15" hidden="false" customHeight="false" outlineLevel="0" collapsed="false">
      <c r="A165" s="7" t="s">
        <v>1414</v>
      </c>
      <c r="B165" s="7" t="s">
        <v>392</v>
      </c>
      <c r="C165" s="8" t="n">
        <v>46265.6041666667</v>
      </c>
      <c r="D165" s="7" t="s">
        <v>1373</v>
      </c>
      <c r="E165" s="7" t="s">
        <v>1159</v>
      </c>
      <c r="F165" s="7" t="s">
        <v>1321</v>
      </c>
      <c r="G165" s="7" t="s">
        <v>1116</v>
      </c>
      <c r="H165" s="7"/>
      <c r="I165" s="7" t="s">
        <v>1322</v>
      </c>
      <c r="J165" s="7" t="str">
        <f aca="false">IF(COUNTIF(Competitions!A:A,B165)&gt;0,"OK","BROKEN")</f>
        <v>OK</v>
      </c>
    </row>
    <row r="166" customFormat="false" ht="15" hidden="false" customHeight="false" outlineLevel="0" collapsed="false">
      <c r="A166" s="7" t="s">
        <v>1415</v>
      </c>
      <c r="B166" s="7" t="s">
        <v>392</v>
      </c>
      <c r="C166" s="8" t="n">
        <v>46265.6458333333</v>
      </c>
      <c r="D166" s="7" t="s">
        <v>1378</v>
      </c>
      <c r="E166" s="7" t="s">
        <v>1380</v>
      </c>
      <c r="F166" s="7" t="s">
        <v>1321</v>
      </c>
      <c r="G166" s="7" t="s">
        <v>1116</v>
      </c>
      <c r="H166" s="7"/>
      <c r="I166" s="7" t="s">
        <v>1322</v>
      </c>
      <c r="J166" s="7" t="str">
        <f aca="false">IF(COUNTIF(Competitions!A:A,B166)&gt;0,"OK","BROKEN")</f>
        <v>OK</v>
      </c>
    </row>
    <row r="167" customFormat="false" ht="15" hidden="false" customHeight="false" outlineLevel="0" collapsed="false">
      <c r="A167" s="7" t="s">
        <v>1416</v>
      </c>
      <c r="B167" s="7" t="s">
        <v>384</v>
      </c>
      <c r="C167" s="8" t="n">
        <v>46265.7916666667</v>
      </c>
      <c r="D167" s="7" t="s">
        <v>282</v>
      </c>
      <c r="E167" s="7" t="s">
        <v>1264</v>
      </c>
      <c r="F167" s="7" t="s">
        <v>1321</v>
      </c>
      <c r="G167" s="7" t="s">
        <v>1116</v>
      </c>
      <c r="H167" s="7"/>
      <c r="I167" s="7" t="s">
        <v>1322</v>
      </c>
      <c r="J167" s="7" t="str">
        <f aca="false">IF(COUNTIF(Competitions!A:A,B167)&gt;0,"OK","BROKEN")</f>
        <v>OK</v>
      </c>
    </row>
    <row r="168" customFormat="false" ht="15" hidden="false" customHeight="false" outlineLevel="0" collapsed="false">
      <c r="A168" s="7" t="s">
        <v>1417</v>
      </c>
      <c r="B168" s="7" t="s">
        <v>384</v>
      </c>
      <c r="C168" s="8" t="n">
        <v>46265.7986111111</v>
      </c>
      <c r="D168" s="7" t="s">
        <v>1034</v>
      </c>
      <c r="E168" s="7" t="s">
        <v>1050</v>
      </c>
      <c r="F168" s="7" t="s">
        <v>1321</v>
      </c>
      <c r="G168" s="7" t="s">
        <v>1116</v>
      </c>
      <c r="H168" s="7"/>
      <c r="I168" s="7" t="s">
        <v>1322</v>
      </c>
      <c r="J168" s="7" t="str">
        <f aca="false">IF(COUNTIF(Competitions!A:A,B168)&gt;0,"OK","BROKEN")</f>
        <v>OK</v>
      </c>
    </row>
    <row r="169" customFormat="false" ht="15" hidden="false" customHeight="false" outlineLevel="0" collapsed="false">
      <c r="A169" s="7" t="s">
        <v>1418</v>
      </c>
      <c r="B169" s="7" t="s">
        <v>384</v>
      </c>
      <c r="C169" s="8" t="n">
        <v>46265.7986111111</v>
      </c>
      <c r="D169" s="7" t="s">
        <v>1262</v>
      </c>
      <c r="E169" s="7" t="s">
        <v>1177</v>
      </c>
      <c r="F169" s="7" t="s">
        <v>1321</v>
      </c>
      <c r="G169" s="7" t="s">
        <v>1116</v>
      </c>
      <c r="H169" s="7"/>
      <c r="I169" s="7" t="s">
        <v>1322</v>
      </c>
      <c r="J169" s="7" t="str">
        <f aca="false">IF(COUNTIF(Competitions!A:A,B169)&gt;0,"OK","BROKEN")</f>
        <v>OK</v>
      </c>
    </row>
    <row r="170" customFormat="false" ht="15" hidden="false" customHeight="false" outlineLevel="0" collapsed="false">
      <c r="A170" s="7" t="s">
        <v>1419</v>
      </c>
      <c r="B170" s="7" t="s">
        <v>384</v>
      </c>
      <c r="C170" s="8" t="n">
        <v>46265.8402777778</v>
      </c>
      <c r="D170" s="7" t="s">
        <v>1176</v>
      </c>
      <c r="E170" s="7" t="s">
        <v>1258</v>
      </c>
      <c r="F170" s="7" t="s">
        <v>1321</v>
      </c>
      <c r="G170" s="7" t="s">
        <v>1116</v>
      </c>
      <c r="H170" s="7"/>
      <c r="I170" s="7" t="s">
        <v>1322</v>
      </c>
      <c r="J170" s="7" t="str">
        <f aca="false">IF(COUNTIF(Competitions!A:A,B170)&gt;0,"OK","BROKEN")</f>
        <v>OK</v>
      </c>
    </row>
    <row r="171" customFormat="false" ht="15" hidden="false" customHeight="false" outlineLevel="0" collapsed="false">
      <c r="A171" s="7" t="s">
        <v>1420</v>
      </c>
      <c r="B171" s="7" t="s">
        <v>384</v>
      </c>
      <c r="C171" s="8" t="n">
        <v>46265.8402777778</v>
      </c>
      <c r="D171" s="7" t="s">
        <v>1358</v>
      </c>
      <c r="E171" s="7" t="s">
        <v>1362</v>
      </c>
      <c r="F171" s="7" t="s">
        <v>1321</v>
      </c>
      <c r="G171" s="7" t="s">
        <v>1116</v>
      </c>
      <c r="H171" s="7"/>
      <c r="I171" s="7" t="s">
        <v>1322</v>
      </c>
      <c r="J171" s="7" t="str">
        <f aca="false">IF(COUNTIF(Competitions!A:A,B171)&gt;0,"OK","BROKEN")</f>
        <v>OK</v>
      </c>
    </row>
    <row r="172" customFormat="false" ht="15" hidden="false" customHeight="false" outlineLevel="0" collapsed="false">
      <c r="A172" s="7" t="s">
        <v>1421</v>
      </c>
      <c r="B172" s="7" t="s">
        <v>384</v>
      </c>
      <c r="C172" s="8" t="n">
        <v>46265.9236111111</v>
      </c>
      <c r="D172" s="7" t="s">
        <v>1168</v>
      </c>
      <c r="E172" s="7" t="s">
        <v>1024</v>
      </c>
      <c r="F172" s="7" t="s">
        <v>1321</v>
      </c>
      <c r="G172" s="7" t="s">
        <v>1116</v>
      </c>
      <c r="H172" s="7"/>
      <c r="I172" s="7" t="s">
        <v>1322</v>
      </c>
      <c r="J172" s="7" t="str">
        <f aca="false">IF(COUNTIF(Competitions!A:A,B172)&gt;0,"OK","BROKEN")</f>
        <v>OK</v>
      </c>
    </row>
    <row r="173" customFormat="false" ht="15" hidden="false" customHeight="false" outlineLevel="0" collapsed="false">
      <c r="A173" s="7" t="s">
        <v>1422</v>
      </c>
      <c r="B173" s="7" t="s">
        <v>347</v>
      </c>
      <c r="C173" s="8" t="n">
        <v>46269.2291666667</v>
      </c>
      <c r="D173" s="7" t="s">
        <v>984</v>
      </c>
      <c r="E173" s="7" t="s">
        <v>1177</v>
      </c>
      <c r="F173" s="7" t="s">
        <v>1150</v>
      </c>
      <c r="G173" s="7" t="s">
        <v>914</v>
      </c>
      <c r="H173" s="7"/>
      <c r="I173" s="7" t="s">
        <v>1423</v>
      </c>
      <c r="J173" s="7" t="str">
        <f aca="false">IF(COUNTIF(Competitions!A:A,B173)&gt;0,"OK","BROKEN")</f>
        <v>OK</v>
      </c>
    </row>
    <row r="174" customFormat="false" ht="15" hidden="false" customHeight="false" outlineLevel="0" collapsed="false">
      <c r="A174" s="7" t="s">
        <v>1424</v>
      </c>
      <c r="B174" s="7" t="s">
        <v>347</v>
      </c>
      <c r="C174" s="8" t="n">
        <v>46269.2291666667</v>
      </c>
      <c r="D174" s="7" t="s">
        <v>1038</v>
      </c>
      <c r="E174" s="7" t="s">
        <v>1328</v>
      </c>
      <c r="F174" s="7" t="s">
        <v>1150</v>
      </c>
      <c r="G174" s="7" t="s">
        <v>914</v>
      </c>
      <c r="H174" s="7"/>
      <c r="I174" s="7" t="s">
        <v>1423</v>
      </c>
      <c r="J174" s="7" t="str">
        <f aca="false">IF(COUNTIF(Competitions!A:A,B174)&gt;0,"OK","BROKEN")</f>
        <v>OK</v>
      </c>
    </row>
    <row r="175" customFormat="false" ht="15" hidden="false" customHeight="false" outlineLevel="0" collapsed="false">
      <c r="A175" s="7" t="s">
        <v>1425</v>
      </c>
      <c r="B175" s="7" t="s">
        <v>347</v>
      </c>
      <c r="C175" s="8" t="n">
        <v>46269.34375</v>
      </c>
      <c r="D175" s="7" t="s">
        <v>1347</v>
      </c>
      <c r="E175" s="7" t="s">
        <v>1023</v>
      </c>
      <c r="F175" s="7" t="s">
        <v>1150</v>
      </c>
      <c r="G175" s="7" t="s">
        <v>914</v>
      </c>
      <c r="H175" s="7"/>
      <c r="I175" s="7" t="s">
        <v>1423</v>
      </c>
      <c r="J175" s="7" t="str">
        <f aca="false">IF(COUNTIF(Competitions!A:A,B175)&gt;0,"OK","BROKEN")</f>
        <v>OK</v>
      </c>
    </row>
    <row r="176" customFormat="false" ht="15" hidden="false" customHeight="false" outlineLevel="0" collapsed="false">
      <c r="A176" s="7" t="s">
        <v>1426</v>
      </c>
      <c r="B176" s="7" t="s">
        <v>347</v>
      </c>
      <c r="C176" s="8" t="n">
        <v>46269.34375</v>
      </c>
      <c r="D176" s="7" t="s">
        <v>282</v>
      </c>
      <c r="E176" s="7" t="s">
        <v>1040</v>
      </c>
      <c r="F176" s="7" t="s">
        <v>1150</v>
      </c>
      <c r="G176" s="7" t="s">
        <v>914</v>
      </c>
      <c r="H176" s="7"/>
      <c r="I176" s="7" t="s">
        <v>1423</v>
      </c>
      <c r="J176" s="7" t="str">
        <f aca="false">IF(COUNTIF(Competitions!A:A,B176)&gt;0,"OK","BROKEN")</f>
        <v>OK</v>
      </c>
    </row>
    <row r="177" customFormat="false" ht="15" hidden="false" customHeight="false" outlineLevel="0" collapsed="false">
      <c r="A177" s="7" t="s">
        <v>1427</v>
      </c>
      <c r="B177" s="7" t="s">
        <v>347</v>
      </c>
      <c r="C177" s="8" t="n">
        <v>46269.4791666667</v>
      </c>
      <c r="D177" s="7" t="s">
        <v>1076</v>
      </c>
      <c r="E177" s="7" t="s">
        <v>1380</v>
      </c>
      <c r="F177" s="7" t="s">
        <v>1150</v>
      </c>
      <c r="G177" s="7" t="s">
        <v>914</v>
      </c>
      <c r="H177" s="7"/>
      <c r="I177" s="7" t="s">
        <v>1423</v>
      </c>
      <c r="J177" s="7" t="str">
        <f aca="false">IF(COUNTIF(Competitions!A:A,B177)&gt;0,"OK","BROKEN")</f>
        <v>OK</v>
      </c>
    </row>
    <row r="178" customFormat="false" ht="15" hidden="false" customHeight="false" outlineLevel="0" collapsed="false">
      <c r="A178" s="7" t="s">
        <v>1428</v>
      </c>
      <c r="B178" s="7" t="s">
        <v>347</v>
      </c>
      <c r="C178" s="8" t="n">
        <v>46269.4895833333</v>
      </c>
      <c r="D178" s="7" t="s">
        <v>1031</v>
      </c>
      <c r="E178" s="7" t="s">
        <v>1025</v>
      </c>
      <c r="F178" s="7" t="s">
        <v>1150</v>
      </c>
      <c r="G178" s="7" t="s">
        <v>914</v>
      </c>
      <c r="H178" s="7"/>
      <c r="I178" s="7" t="s">
        <v>1423</v>
      </c>
      <c r="J178" s="7" t="str">
        <f aca="false">IF(COUNTIF(Competitions!A:A,B178)&gt;0,"OK","BROKEN")</f>
        <v>OK</v>
      </c>
    </row>
    <row r="179" customFormat="false" ht="15" hidden="false" customHeight="false" outlineLevel="0" collapsed="false">
      <c r="A179" s="7" t="s">
        <v>1429</v>
      </c>
      <c r="B179" s="7" t="s">
        <v>347</v>
      </c>
      <c r="C179" s="8" t="n">
        <v>46269.59375</v>
      </c>
      <c r="D179" s="7" t="s">
        <v>1060</v>
      </c>
      <c r="E179" s="7" t="s">
        <v>1022</v>
      </c>
      <c r="F179" s="7" t="s">
        <v>1150</v>
      </c>
      <c r="G179" s="7" t="s">
        <v>914</v>
      </c>
      <c r="H179" s="7"/>
      <c r="I179" s="7" t="s">
        <v>1423</v>
      </c>
      <c r="J179" s="7" t="str">
        <f aca="false">IF(COUNTIF(Competitions!A:A,B179)&gt;0,"OK","BROKEN")</f>
        <v>OK</v>
      </c>
    </row>
    <row r="180" customFormat="false" ht="15" hidden="false" customHeight="false" outlineLevel="0" collapsed="false">
      <c r="A180" s="7" t="s">
        <v>1430</v>
      </c>
      <c r="B180" s="7" t="s">
        <v>347</v>
      </c>
      <c r="C180" s="8" t="n">
        <v>46269.625</v>
      </c>
      <c r="D180" s="7" t="s">
        <v>1333</v>
      </c>
      <c r="E180" s="7" t="s">
        <v>1044</v>
      </c>
      <c r="F180" s="7" t="s">
        <v>1150</v>
      </c>
      <c r="G180" s="7" t="s">
        <v>914</v>
      </c>
      <c r="H180" s="7"/>
      <c r="I180" s="7" t="s">
        <v>1423</v>
      </c>
      <c r="J180" s="7" t="str">
        <f aca="false">IF(COUNTIF(Competitions!A:A,B180)&gt;0,"OK","BROKEN")</f>
        <v>OK</v>
      </c>
    </row>
    <row r="181" customFormat="false" ht="15" hidden="false" customHeight="false" outlineLevel="0" collapsed="false">
      <c r="A181" s="7" t="s">
        <v>1431</v>
      </c>
      <c r="B181" s="7" t="s">
        <v>347</v>
      </c>
      <c r="C181" s="8" t="n">
        <v>46270.2291666667</v>
      </c>
      <c r="D181" s="7" t="s">
        <v>1328</v>
      </c>
      <c r="E181" s="7" t="s">
        <v>1031</v>
      </c>
      <c r="F181" s="7" t="s">
        <v>1150</v>
      </c>
      <c r="G181" s="7" t="s">
        <v>914</v>
      </c>
      <c r="H181" s="7"/>
      <c r="I181" s="7" t="s">
        <v>1423</v>
      </c>
      <c r="J181" s="7" t="str">
        <f aca="false">IF(COUNTIF(Competitions!A:A,B181)&gt;0,"OK","BROKEN")</f>
        <v>OK</v>
      </c>
    </row>
    <row r="182" customFormat="false" ht="15" hidden="false" customHeight="false" outlineLevel="0" collapsed="false">
      <c r="A182" s="7" t="s">
        <v>1432</v>
      </c>
      <c r="B182" s="7" t="s">
        <v>347</v>
      </c>
      <c r="C182" s="8" t="n">
        <v>46270.34375</v>
      </c>
      <c r="D182" s="7" t="s">
        <v>1023</v>
      </c>
      <c r="E182" s="7" t="s">
        <v>1333</v>
      </c>
      <c r="F182" s="7" t="s">
        <v>1150</v>
      </c>
      <c r="G182" s="7" t="s">
        <v>914</v>
      </c>
      <c r="H182" s="7"/>
      <c r="I182" s="7" t="s">
        <v>1423</v>
      </c>
      <c r="J182" s="7" t="str">
        <f aca="false">IF(COUNTIF(Competitions!A:A,B182)&gt;0,"OK","BROKEN")</f>
        <v>OK</v>
      </c>
    </row>
    <row r="183" customFormat="false" ht="15" hidden="false" customHeight="false" outlineLevel="0" collapsed="false">
      <c r="A183" s="7" t="s">
        <v>1433</v>
      </c>
      <c r="B183" s="7" t="s">
        <v>347</v>
      </c>
      <c r="C183" s="8" t="n">
        <v>46270.5</v>
      </c>
      <c r="D183" s="7" t="s">
        <v>1025</v>
      </c>
      <c r="E183" s="7" t="s">
        <v>1038</v>
      </c>
      <c r="F183" s="7" t="s">
        <v>1150</v>
      </c>
      <c r="G183" s="7" t="s">
        <v>914</v>
      </c>
      <c r="H183" s="7"/>
      <c r="I183" s="7" t="s">
        <v>1423</v>
      </c>
      <c r="J183" s="7" t="str">
        <f aca="false">IF(COUNTIF(Competitions!A:A,B183)&gt;0,"OK","BROKEN")</f>
        <v>OK</v>
      </c>
    </row>
    <row r="184" customFormat="false" ht="15" hidden="false" customHeight="false" outlineLevel="0" collapsed="false">
      <c r="A184" s="7" t="s">
        <v>1434</v>
      </c>
      <c r="B184" s="7" t="s">
        <v>347</v>
      </c>
      <c r="C184" s="8" t="n">
        <v>46270.6145833333</v>
      </c>
      <c r="D184" s="7" t="s">
        <v>1044</v>
      </c>
      <c r="E184" s="7" t="s">
        <v>1347</v>
      </c>
      <c r="F184" s="7" t="s">
        <v>1150</v>
      </c>
      <c r="G184" s="7" t="s">
        <v>914</v>
      </c>
      <c r="H184" s="7"/>
      <c r="I184" s="7" t="s">
        <v>1423</v>
      </c>
      <c r="J184" s="7" t="str">
        <f aca="false">IF(COUNTIF(Competitions!A:A,B184)&gt;0,"OK","BROKEN")</f>
        <v>OK</v>
      </c>
    </row>
    <row r="185" customFormat="false" ht="15" hidden="false" customHeight="false" outlineLevel="0" collapsed="false">
      <c r="A185" s="7" t="s">
        <v>1435</v>
      </c>
      <c r="B185" s="7" t="s">
        <v>347</v>
      </c>
      <c r="C185" s="8" t="n">
        <v>46271.2291666667</v>
      </c>
      <c r="D185" s="7" t="s">
        <v>1380</v>
      </c>
      <c r="E185" s="7" t="s">
        <v>984</v>
      </c>
      <c r="F185" s="7" t="s">
        <v>1150</v>
      </c>
      <c r="G185" s="7" t="s">
        <v>914</v>
      </c>
      <c r="H185" s="7"/>
      <c r="I185" s="7" t="s">
        <v>1423</v>
      </c>
      <c r="J185" s="7" t="str">
        <f aca="false">IF(COUNTIF(Competitions!A:A,B185)&gt;0,"OK","BROKEN")</f>
        <v>OK</v>
      </c>
    </row>
    <row r="186" customFormat="false" ht="15" hidden="false" customHeight="false" outlineLevel="0" collapsed="false">
      <c r="A186" s="7" t="s">
        <v>1436</v>
      </c>
      <c r="B186" s="7" t="s">
        <v>347</v>
      </c>
      <c r="C186" s="8" t="n">
        <v>46271.3541666667</v>
      </c>
      <c r="D186" s="7" t="s">
        <v>1040</v>
      </c>
      <c r="E186" s="7" t="s">
        <v>1060</v>
      </c>
      <c r="F186" s="7" t="s">
        <v>1150</v>
      </c>
      <c r="G186" s="7" t="s">
        <v>914</v>
      </c>
      <c r="H186" s="7"/>
      <c r="I186" s="7" t="s">
        <v>1423</v>
      </c>
      <c r="J186" s="7" t="str">
        <f aca="false">IF(COUNTIF(Competitions!A:A,B186)&gt;0,"OK","BROKEN")</f>
        <v>OK</v>
      </c>
    </row>
    <row r="187" customFormat="false" ht="15" hidden="false" customHeight="false" outlineLevel="0" collapsed="false">
      <c r="A187" s="7" t="s">
        <v>1437</v>
      </c>
      <c r="B187" s="7" t="s">
        <v>347</v>
      </c>
      <c r="C187" s="8" t="n">
        <v>46271.4895833333</v>
      </c>
      <c r="D187" s="7" t="s">
        <v>1177</v>
      </c>
      <c r="E187" s="7" t="s">
        <v>1076</v>
      </c>
      <c r="F187" s="7" t="s">
        <v>1150</v>
      </c>
      <c r="G187" s="7" t="s">
        <v>914</v>
      </c>
      <c r="H187" s="7"/>
      <c r="I187" s="7" t="s">
        <v>1423</v>
      </c>
      <c r="J187" s="7" t="str">
        <f aca="false">IF(COUNTIF(Competitions!A:A,B187)&gt;0,"OK","BROKEN")</f>
        <v>OK</v>
      </c>
    </row>
    <row r="188" customFormat="false" ht="15" hidden="false" customHeight="false" outlineLevel="0" collapsed="false">
      <c r="A188" s="7" t="s">
        <v>1438</v>
      </c>
      <c r="B188" s="7" t="s">
        <v>347</v>
      </c>
      <c r="C188" s="8" t="n">
        <v>46271.6145833333</v>
      </c>
      <c r="D188" s="7" t="s">
        <v>1022</v>
      </c>
      <c r="E188" s="7" t="s">
        <v>282</v>
      </c>
      <c r="F188" s="7" t="s">
        <v>1150</v>
      </c>
      <c r="G188" s="7" t="s">
        <v>914</v>
      </c>
      <c r="H188" s="7"/>
      <c r="I188" s="7" t="s">
        <v>1423</v>
      </c>
      <c r="J188" s="7" t="str">
        <f aca="false">IF(COUNTIF(Competitions!A:A,B188)&gt;0,"OK","BROKEN")</f>
        <v>OK</v>
      </c>
    </row>
    <row r="189" customFormat="false" ht="15" hidden="false" customHeight="false" outlineLevel="0" collapsed="false">
      <c r="A189" s="7" t="s">
        <v>1439</v>
      </c>
      <c r="B189" s="7" t="s">
        <v>347</v>
      </c>
      <c r="C189" s="8" t="n">
        <v>46272.2291666667</v>
      </c>
      <c r="D189" s="7" t="s">
        <v>1076</v>
      </c>
      <c r="E189" s="7" t="s">
        <v>984</v>
      </c>
      <c r="F189" s="7" t="s">
        <v>1150</v>
      </c>
      <c r="G189" s="7" t="s">
        <v>914</v>
      </c>
      <c r="H189" s="7"/>
      <c r="I189" s="7" t="s">
        <v>1423</v>
      </c>
      <c r="J189" s="7" t="str">
        <f aca="false">IF(COUNTIF(Competitions!A:A,B189)&gt;0,"OK","BROKEN")</f>
        <v>OK</v>
      </c>
    </row>
    <row r="190" customFormat="false" ht="15" hidden="false" customHeight="false" outlineLevel="0" collapsed="false">
      <c r="A190" s="7" t="s">
        <v>1440</v>
      </c>
      <c r="B190" s="7" t="s">
        <v>347</v>
      </c>
      <c r="C190" s="8" t="n">
        <v>46272.2291666667</v>
      </c>
      <c r="D190" s="7" t="s">
        <v>1177</v>
      </c>
      <c r="E190" s="7" t="s">
        <v>1380</v>
      </c>
      <c r="F190" s="7" t="s">
        <v>1150</v>
      </c>
      <c r="G190" s="7" t="s">
        <v>914</v>
      </c>
      <c r="H190" s="7"/>
      <c r="I190" s="7" t="s">
        <v>1423</v>
      </c>
      <c r="J190" s="7" t="str">
        <f aca="false">IF(COUNTIF(Competitions!A:A,B190)&gt;0,"OK","BROKEN")</f>
        <v>OK</v>
      </c>
    </row>
    <row r="191" customFormat="false" ht="15" hidden="false" customHeight="false" outlineLevel="0" collapsed="false">
      <c r="A191" s="7" t="s">
        <v>1441</v>
      </c>
      <c r="B191" s="7" t="s">
        <v>347</v>
      </c>
      <c r="C191" s="8" t="n">
        <v>46272.3541666667</v>
      </c>
      <c r="D191" s="7" t="s">
        <v>1023</v>
      </c>
      <c r="E191" s="7" t="s">
        <v>1044</v>
      </c>
      <c r="F191" s="7" t="s">
        <v>1150</v>
      </c>
      <c r="G191" s="7" t="s">
        <v>914</v>
      </c>
      <c r="H191" s="7"/>
      <c r="I191" s="7" t="s">
        <v>1423</v>
      </c>
      <c r="J191" s="7" t="str">
        <f aca="false">IF(COUNTIF(Competitions!A:A,B191)&gt;0,"OK","BROKEN")</f>
        <v>OK</v>
      </c>
    </row>
    <row r="192" customFormat="false" ht="15" hidden="false" customHeight="false" outlineLevel="0" collapsed="false">
      <c r="A192" s="7" t="s">
        <v>1442</v>
      </c>
      <c r="B192" s="7" t="s">
        <v>347</v>
      </c>
      <c r="C192" s="8" t="n">
        <v>46272.3541666667</v>
      </c>
      <c r="D192" s="7" t="s">
        <v>1333</v>
      </c>
      <c r="E192" s="7" t="s">
        <v>1347</v>
      </c>
      <c r="F192" s="7" t="s">
        <v>1150</v>
      </c>
      <c r="G192" s="7" t="s">
        <v>914</v>
      </c>
      <c r="H192" s="7"/>
      <c r="I192" s="7" t="s">
        <v>1423</v>
      </c>
      <c r="J192" s="7" t="str">
        <f aca="false">IF(COUNTIF(Competitions!A:A,B192)&gt;0,"OK","BROKEN")</f>
        <v>OK</v>
      </c>
    </row>
    <row r="193" customFormat="false" ht="15" hidden="false" customHeight="false" outlineLevel="0" collapsed="false">
      <c r="A193" s="7" t="s">
        <v>1443</v>
      </c>
      <c r="B193" s="7" t="s">
        <v>347</v>
      </c>
      <c r="C193" s="8" t="n">
        <v>46272.4930555556</v>
      </c>
      <c r="D193" s="7" t="s">
        <v>1038</v>
      </c>
      <c r="E193" s="7" t="s">
        <v>1031</v>
      </c>
      <c r="F193" s="7" t="s">
        <v>1150</v>
      </c>
      <c r="G193" s="7" t="s">
        <v>914</v>
      </c>
      <c r="H193" s="7"/>
      <c r="I193" s="7" t="s">
        <v>1423</v>
      </c>
      <c r="J193" s="7" t="str">
        <f aca="false">IF(COUNTIF(Competitions!A:A,B193)&gt;0,"OK","BROKEN")</f>
        <v>OK</v>
      </c>
    </row>
    <row r="194" customFormat="false" ht="15" hidden="false" customHeight="false" outlineLevel="0" collapsed="false">
      <c r="A194" s="7" t="s">
        <v>1444</v>
      </c>
      <c r="B194" s="7" t="s">
        <v>347</v>
      </c>
      <c r="C194" s="8" t="n">
        <v>46272.4930555556</v>
      </c>
      <c r="D194" s="7" t="s">
        <v>1025</v>
      </c>
      <c r="E194" s="7" t="s">
        <v>1328</v>
      </c>
      <c r="F194" s="7" t="s">
        <v>1150</v>
      </c>
      <c r="G194" s="7" t="s">
        <v>914</v>
      </c>
      <c r="H194" s="7"/>
      <c r="I194" s="7" t="s">
        <v>1423</v>
      </c>
      <c r="J194" s="7" t="str">
        <f aca="false">IF(COUNTIF(Competitions!A:A,B194)&gt;0,"OK","BROKEN")</f>
        <v>OK</v>
      </c>
    </row>
    <row r="195" customFormat="false" ht="15" hidden="false" customHeight="false" outlineLevel="0" collapsed="false">
      <c r="A195" s="7" t="s">
        <v>1445</v>
      </c>
      <c r="B195" s="7" t="s">
        <v>347</v>
      </c>
      <c r="C195" s="8" t="n">
        <v>46272.6145833333</v>
      </c>
      <c r="D195" s="7" t="s">
        <v>282</v>
      </c>
      <c r="E195" s="7" t="s">
        <v>1060</v>
      </c>
      <c r="F195" s="7" t="s">
        <v>1150</v>
      </c>
      <c r="G195" s="7" t="s">
        <v>914</v>
      </c>
      <c r="H195" s="7"/>
      <c r="I195" s="7" t="s">
        <v>1423</v>
      </c>
      <c r="J195" s="7" t="str">
        <f aca="false">IF(COUNTIF(Competitions!A:A,B195)&gt;0,"OK","BROKEN")</f>
        <v>OK</v>
      </c>
    </row>
    <row r="196" customFormat="false" ht="15" hidden="false" customHeight="false" outlineLevel="0" collapsed="false">
      <c r="A196" s="7" t="s">
        <v>1446</v>
      </c>
      <c r="B196" s="7" t="s">
        <v>347</v>
      </c>
      <c r="C196" s="8" t="n">
        <v>46272.6145833333</v>
      </c>
      <c r="D196" s="7" t="s">
        <v>1022</v>
      </c>
      <c r="E196" s="7" t="s">
        <v>1040</v>
      </c>
      <c r="F196" s="7" t="s">
        <v>1150</v>
      </c>
      <c r="G196" s="7" t="s">
        <v>914</v>
      </c>
      <c r="H196" s="7"/>
      <c r="I196" s="7" t="s">
        <v>1423</v>
      </c>
      <c r="J196" s="7" t="str">
        <f aca="false">IF(COUNTIF(Competitions!A:A,B196)&gt;0,"OK","BROKEN")</f>
        <v>OK</v>
      </c>
    </row>
    <row r="197" customFormat="false" ht="15" hidden="false" customHeight="false" outlineLevel="0" collapsed="false">
      <c r="A197" s="7" t="s">
        <v>1447</v>
      </c>
      <c r="B197" s="7" t="s">
        <v>473</v>
      </c>
      <c r="C197" s="8" t="n">
        <v>46274</v>
      </c>
      <c r="D197" s="7" t="s">
        <v>995</v>
      </c>
      <c r="E197" s="7" t="s">
        <v>974</v>
      </c>
      <c r="F197" s="7" t="s">
        <v>1187</v>
      </c>
      <c r="G197" s="7" t="s">
        <v>914</v>
      </c>
      <c r="H197" s="7"/>
      <c r="I197" s="7" t="s">
        <v>1448</v>
      </c>
      <c r="J197" s="7" t="str">
        <f aca="false">IF(COUNTIF(Competitions!A:A,B197)&gt;0,"OK","BROKEN")</f>
        <v>OK</v>
      </c>
    </row>
    <row r="198" customFormat="false" ht="15" hidden="false" customHeight="false" outlineLevel="0" collapsed="false">
      <c r="A198" s="7" t="s">
        <v>1449</v>
      </c>
      <c r="B198" s="7" t="s">
        <v>477</v>
      </c>
      <c r="C198" s="8" t="n">
        <v>46276.3125</v>
      </c>
      <c r="D198" s="7" t="s">
        <v>1450</v>
      </c>
      <c r="E198" s="7" t="s">
        <v>1451</v>
      </c>
      <c r="F198" s="7" t="s">
        <v>1452</v>
      </c>
      <c r="G198" s="7" t="s">
        <v>914</v>
      </c>
      <c r="H198" s="7"/>
      <c r="I198" s="7" t="s">
        <v>1453</v>
      </c>
      <c r="J198" s="7" t="str">
        <f aca="false">IF(COUNTIF(Competitions!A:A,B198)&gt;0,"OK","BROKEN")</f>
        <v>OK</v>
      </c>
    </row>
    <row r="199" customFormat="false" ht="15" hidden="false" customHeight="false" outlineLevel="0" collapsed="false">
      <c r="A199" s="7" t="s">
        <v>1454</v>
      </c>
      <c r="B199" s="7" t="s">
        <v>473</v>
      </c>
      <c r="C199" s="8" t="n">
        <v>46277</v>
      </c>
      <c r="D199" s="7" t="s">
        <v>995</v>
      </c>
      <c r="E199" s="7" t="s">
        <v>974</v>
      </c>
      <c r="F199" s="7" t="s">
        <v>1249</v>
      </c>
      <c r="G199" s="7" t="s">
        <v>914</v>
      </c>
      <c r="H199" s="7"/>
      <c r="I199" s="7" t="s">
        <v>1448</v>
      </c>
      <c r="J199" s="7" t="str">
        <f aca="false">IF(COUNTIF(Competitions!A:A,B199)&gt;0,"OK","BROKEN")</f>
        <v>OK</v>
      </c>
    </row>
    <row r="200" customFormat="false" ht="15" hidden="false" customHeight="false" outlineLevel="0" collapsed="false">
      <c r="A200" s="7" t="s">
        <v>1455</v>
      </c>
      <c r="B200" s="7" t="s">
        <v>416</v>
      </c>
      <c r="C200" s="8" t="n">
        <v>46277.5833333333</v>
      </c>
      <c r="D200" s="7" t="s">
        <v>988</v>
      </c>
      <c r="E200" s="7" t="s">
        <v>1040</v>
      </c>
      <c r="F200" s="7" t="s">
        <v>1150</v>
      </c>
      <c r="G200" s="7" t="s">
        <v>914</v>
      </c>
      <c r="H200" s="7"/>
      <c r="I200" s="7" t="s">
        <v>1456</v>
      </c>
      <c r="J200" s="7" t="str">
        <f aca="false">IF(COUNTIF(Competitions!A:A,B200)&gt;0,"OK","BROKEN")</f>
        <v>OK</v>
      </c>
    </row>
    <row r="201" customFormat="false" ht="15" hidden="false" customHeight="false" outlineLevel="0" collapsed="false">
      <c r="A201" s="7" t="s">
        <v>1457</v>
      </c>
      <c r="B201" s="7" t="s">
        <v>416</v>
      </c>
      <c r="C201" s="8" t="n">
        <v>46277.7083333333</v>
      </c>
      <c r="D201" s="7" t="s">
        <v>987</v>
      </c>
      <c r="E201" s="7" t="s">
        <v>1002</v>
      </c>
      <c r="F201" s="7" t="s">
        <v>1150</v>
      </c>
      <c r="G201" s="7" t="s">
        <v>914</v>
      </c>
      <c r="H201" s="7"/>
      <c r="I201" s="7" t="s">
        <v>1456</v>
      </c>
      <c r="J201" s="7" t="str">
        <f aca="false">IF(COUNTIF(Competitions!A:A,B201)&gt;0,"OK","BROKEN")</f>
        <v>OK</v>
      </c>
    </row>
    <row r="202" customFormat="false" ht="15" hidden="false" customHeight="false" outlineLevel="0" collapsed="false">
      <c r="A202" s="7" t="s">
        <v>1458</v>
      </c>
      <c r="B202" s="7" t="s">
        <v>416</v>
      </c>
      <c r="C202" s="8" t="n">
        <v>46277.8333333333</v>
      </c>
      <c r="D202" s="7" t="s">
        <v>1168</v>
      </c>
      <c r="E202" s="7" t="s">
        <v>282</v>
      </c>
      <c r="F202" s="7" t="s">
        <v>1150</v>
      </c>
      <c r="G202" s="7" t="s">
        <v>914</v>
      </c>
      <c r="H202" s="7"/>
      <c r="I202" s="7" t="s">
        <v>1456</v>
      </c>
      <c r="J202" s="7" t="str">
        <f aca="false">IF(COUNTIF(Competitions!A:A,B202)&gt;0,"OK","BROKEN")</f>
        <v>OK</v>
      </c>
    </row>
    <row r="203" customFormat="false" ht="15" hidden="false" customHeight="false" outlineLevel="0" collapsed="false">
      <c r="A203" s="7" t="s">
        <v>1459</v>
      </c>
      <c r="B203" s="7" t="s">
        <v>473</v>
      </c>
      <c r="C203" s="8" t="n">
        <v>46278</v>
      </c>
      <c r="D203" s="7" t="s">
        <v>995</v>
      </c>
      <c r="E203" s="7" t="s">
        <v>974</v>
      </c>
      <c r="F203" s="7" t="s">
        <v>1274</v>
      </c>
      <c r="G203" s="7" t="s">
        <v>914</v>
      </c>
      <c r="H203" s="7"/>
      <c r="I203" s="7" t="s">
        <v>1448</v>
      </c>
      <c r="J203" s="7" t="str">
        <f aca="false">IF(COUNTIF(Competitions!A:A,B203)&gt;0,"OK","BROKEN")</f>
        <v>OK</v>
      </c>
    </row>
    <row r="204" customFormat="false" ht="15" hidden="false" customHeight="false" outlineLevel="0" collapsed="false">
      <c r="A204" s="7" t="s">
        <v>1460</v>
      </c>
      <c r="B204" s="7" t="s">
        <v>477</v>
      </c>
      <c r="C204" s="8" t="n">
        <v>46278.3125</v>
      </c>
      <c r="D204" s="7" t="s">
        <v>1450</v>
      </c>
      <c r="E204" s="7" t="s">
        <v>1451</v>
      </c>
      <c r="F204" s="7" t="s">
        <v>1461</v>
      </c>
      <c r="G204" s="7" t="s">
        <v>914</v>
      </c>
      <c r="H204" s="7"/>
      <c r="I204" s="7" t="s">
        <v>1453</v>
      </c>
      <c r="J204" s="7" t="str">
        <f aca="false">IF(COUNTIF(Competitions!A:A,B204)&gt;0,"OK","BROKEN")</f>
        <v>OK</v>
      </c>
    </row>
    <row r="205" customFormat="false" ht="15" hidden="false" customHeight="false" outlineLevel="0" collapsed="false">
      <c r="A205" s="7" t="s">
        <v>1462</v>
      </c>
      <c r="B205" s="7" t="s">
        <v>416</v>
      </c>
      <c r="C205" s="8" t="n">
        <v>46278.4583333333</v>
      </c>
      <c r="D205" s="7" t="s">
        <v>1040</v>
      </c>
      <c r="E205" s="7" t="s">
        <v>987</v>
      </c>
      <c r="F205" s="7" t="s">
        <v>1150</v>
      </c>
      <c r="G205" s="7" t="s">
        <v>914</v>
      </c>
      <c r="H205" s="7"/>
      <c r="I205" s="7" t="s">
        <v>1456</v>
      </c>
      <c r="J205" s="7" t="str">
        <f aca="false">IF(COUNTIF(Competitions!A:A,B205)&gt;0,"OK","BROKEN")</f>
        <v>OK</v>
      </c>
    </row>
    <row r="206" customFormat="false" ht="15" hidden="false" customHeight="false" outlineLevel="0" collapsed="false">
      <c r="A206" s="7" t="s">
        <v>1463</v>
      </c>
      <c r="B206" s="7" t="s">
        <v>416</v>
      </c>
      <c r="C206" s="8" t="n">
        <v>46278.5833333333</v>
      </c>
      <c r="D206" s="7" t="s">
        <v>282</v>
      </c>
      <c r="E206" s="7" t="s">
        <v>988</v>
      </c>
      <c r="F206" s="7" t="s">
        <v>1150</v>
      </c>
      <c r="G206" s="7" t="s">
        <v>914</v>
      </c>
      <c r="H206" s="7"/>
      <c r="I206" s="7" t="s">
        <v>1456</v>
      </c>
      <c r="J206" s="7" t="str">
        <f aca="false">IF(COUNTIF(Competitions!A:A,B206)&gt;0,"OK","BROKEN")</f>
        <v>OK</v>
      </c>
    </row>
    <row r="207" customFormat="false" ht="15" hidden="false" customHeight="false" outlineLevel="0" collapsed="false">
      <c r="A207" s="7" t="s">
        <v>1464</v>
      </c>
      <c r="B207" s="7" t="s">
        <v>416</v>
      </c>
      <c r="C207" s="8" t="n">
        <v>46278.7083333333</v>
      </c>
      <c r="D207" s="7" t="s">
        <v>1168</v>
      </c>
      <c r="E207" s="7" t="s">
        <v>1002</v>
      </c>
      <c r="F207" s="7" t="s">
        <v>1150</v>
      </c>
      <c r="G207" s="7" t="s">
        <v>914</v>
      </c>
      <c r="H207" s="7"/>
      <c r="I207" s="7" t="s">
        <v>1456</v>
      </c>
      <c r="J207" s="7" t="str">
        <f aca="false">IF(COUNTIF(Competitions!A:A,B207)&gt;0,"OK","BROKEN")</f>
        <v>OK</v>
      </c>
    </row>
    <row r="208" customFormat="false" ht="15" hidden="false" customHeight="false" outlineLevel="0" collapsed="false">
      <c r="A208" s="7" t="s">
        <v>1465</v>
      </c>
      <c r="B208" s="7" t="s">
        <v>416</v>
      </c>
      <c r="C208" s="8" t="n">
        <v>46278.8333333333</v>
      </c>
      <c r="D208" s="7" t="s">
        <v>1002</v>
      </c>
      <c r="E208" s="7" t="s">
        <v>282</v>
      </c>
      <c r="F208" s="7" t="s">
        <v>1150</v>
      </c>
      <c r="G208" s="7" t="s">
        <v>914</v>
      </c>
      <c r="H208" s="7"/>
      <c r="I208" s="7" t="s">
        <v>1456</v>
      </c>
      <c r="J208" s="7" t="str">
        <f aca="false">IF(COUNTIF(Competitions!A:A,B208)&gt;0,"OK","BROKEN")</f>
        <v>OK</v>
      </c>
    </row>
    <row r="209" customFormat="false" ht="15" hidden="false" customHeight="false" outlineLevel="0" collapsed="false">
      <c r="A209" s="7" t="s">
        <v>1466</v>
      </c>
      <c r="B209" s="7" t="s">
        <v>416</v>
      </c>
      <c r="C209" s="8" t="n">
        <v>46279.4583333333</v>
      </c>
      <c r="D209" s="7" t="s">
        <v>1168</v>
      </c>
      <c r="E209" s="7" t="s">
        <v>988</v>
      </c>
      <c r="F209" s="7" t="s">
        <v>1150</v>
      </c>
      <c r="G209" s="7" t="s">
        <v>914</v>
      </c>
      <c r="H209" s="7"/>
      <c r="I209" s="7" t="s">
        <v>1456</v>
      </c>
      <c r="J209" s="7" t="str">
        <f aca="false">IF(COUNTIF(Competitions!A:A,B209)&gt;0,"OK","BROKEN")</f>
        <v>OK</v>
      </c>
    </row>
    <row r="210" customFormat="false" ht="15" hidden="false" customHeight="false" outlineLevel="0" collapsed="false">
      <c r="A210" s="7" t="s">
        <v>1467</v>
      </c>
      <c r="B210" s="7" t="s">
        <v>416</v>
      </c>
      <c r="C210" s="8" t="n">
        <v>46279.5833333333</v>
      </c>
      <c r="D210" s="7" t="s">
        <v>1040</v>
      </c>
      <c r="E210" s="7" t="s">
        <v>1002</v>
      </c>
      <c r="F210" s="7" t="s">
        <v>1150</v>
      </c>
      <c r="G210" s="7" t="s">
        <v>914</v>
      </c>
      <c r="H210" s="7"/>
      <c r="I210" s="7" t="s">
        <v>1456</v>
      </c>
      <c r="J210" s="7" t="str">
        <f aca="false">IF(COUNTIF(Competitions!A:A,B210)&gt;0,"OK","BROKEN")</f>
        <v>OK</v>
      </c>
    </row>
    <row r="211" customFormat="false" ht="15" hidden="false" customHeight="false" outlineLevel="0" collapsed="false">
      <c r="A211" s="7" t="s">
        <v>1468</v>
      </c>
      <c r="B211" s="7" t="s">
        <v>416</v>
      </c>
      <c r="C211" s="8" t="n">
        <v>46279.7083333333</v>
      </c>
      <c r="D211" s="7" t="s">
        <v>987</v>
      </c>
      <c r="E211" s="7" t="s">
        <v>1168</v>
      </c>
      <c r="F211" s="7" t="s">
        <v>1150</v>
      </c>
      <c r="G211" s="7" t="s">
        <v>914</v>
      </c>
      <c r="H211" s="7"/>
      <c r="I211" s="7" t="s">
        <v>1456</v>
      </c>
      <c r="J211" s="7" t="str">
        <f aca="false">IF(COUNTIF(Competitions!A:A,B211)&gt;0,"OK","BROKEN")</f>
        <v>OK</v>
      </c>
    </row>
    <row r="212" customFormat="false" ht="15" hidden="false" customHeight="false" outlineLevel="0" collapsed="false">
      <c r="A212" s="7" t="s">
        <v>1469</v>
      </c>
      <c r="B212" s="7" t="s">
        <v>416</v>
      </c>
      <c r="C212" s="8" t="n">
        <v>46279.8333333333</v>
      </c>
      <c r="D212" s="7" t="s">
        <v>282</v>
      </c>
      <c r="E212" s="7" t="s">
        <v>987</v>
      </c>
      <c r="F212" s="7" t="s">
        <v>1150</v>
      </c>
      <c r="G212" s="7" t="s">
        <v>914</v>
      </c>
      <c r="H212" s="7"/>
      <c r="I212" s="7" t="s">
        <v>1456</v>
      </c>
      <c r="J212" s="7" t="str">
        <f aca="false">IF(COUNTIF(Competitions!A:A,B212)&gt;0,"OK","BROKEN")</f>
        <v>OK</v>
      </c>
    </row>
    <row r="213" customFormat="false" ht="15" hidden="false" customHeight="false" outlineLevel="0" collapsed="false">
      <c r="A213" s="7" t="s">
        <v>1470</v>
      </c>
      <c r="B213" s="7" t="s">
        <v>477</v>
      </c>
      <c r="C213" s="8" t="n">
        <v>46280.3125</v>
      </c>
      <c r="D213" s="7" t="s">
        <v>1450</v>
      </c>
      <c r="E213" s="7" t="s">
        <v>1451</v>
      </c>
      <c r="F213" s="7" t="s">
        <v>1471</v>
      </c>
      <c r="G213" s="7" t="s">
        <v>914</v>
      </c>
      <c r="H213" s="7"/>
      <c r="I213" s="7" t="s">
        <v>1453</v>
      </c>
      <c r="J213" s="7" t="str">
        <f aca="false">IF(COUNTIF(Competitions!A:A,B213)&gt;0,"OK","BROKEN")</f>
        <v>OK</v>
      </c>
    </row>
    <row r="214" customFormat="false" ht="15" hidden="false" customHeight="false" outlineLevel="0" collapsed="false">
      <c r="A214" s="7" t="s">
        <v>1472</v>
      </c>
      <c r="B214" s="7" t="s">
        <v>416</v>
      </c>
      <c r="C214" s="8" t="n">
        <v>46280.4583333333</v>
      </c>
      <c r="D214" s="7" t="s">
        <v>988</v>
      </c>
      <c r="E214" s="7" t="s">
        <v>1002</v>
      </c>
      <c r="F214" s="7" t="s">
        <v>1150</v>
      </c>
      <c r="G214" s="7" t="s">
        <v>914</v>
      </c>
      <c r="H214" s="7"/>
      <c r="I214" s="7" t="s">
        <v>1456</v>
      </c>
      <c r="J214" s="7" t="str">
        <f aca="false">IF(COUNTIF(Competitions!A:A,B214)&gt;0,"OK","BROKEN")</f>
        <v>OK</v>
      </c>
    </row>
    <row r="215" customFormat="false" ht="15" hidden="false" customHeight="false" outlineLevel="0" collapsed="false">
      <c r="A215" s="7" t="s">
        <v>1473</v>
      </c>
      <c r="B215" s="7" t="s">
        <v>480</v>
      </c>
      <c r="C215" s="8" t="n">
        <v>46280.5625</v>
      </c>
      <c r="D215" s="7" t="s">
        <v>980</v>
      </c>
      <c r="E215" s="7" t="s">
        <v>996</v>
      </c>
      <c r="F215" s="7" t="s">
        <v>1187</v>
      </c>
      <c r="G215" s="7" t="s">
        <v>914</v>
      </c>
      <c r="H215" s="7"/>
      <c r="I215" s="7" t="s">
        <v>1474</v>
      </c>
      <c r="J215" s="7" t="str">
        <f aca="false">IF(COUNTIF(Competitions!A:A,B215)&gt;0,"OK","BROKEN")</f>
        <v>OK</v>
      </c>
    </row>
    <row r="216" customFormat="false" ht="15" hidden="false" customHeight="false" outlineLevel="0" collapsed="false">
      <c r="A216" s="7" t="s">
        <v>1475</v>
      </c>
      <c r="B216" s="7" t="s">
        <v>416</v>
      </c>
      <c r="C216" s="8" t="n">
        <v>46280.5833333333</v>
      </c>
      <c r="D216" s="7" t="s">
        <v>1168</v>
      </c>
      <c r="E216" s="7" t="s">
        <v>1040</v>
      </c>
      <c r="F216" s="7" t="s">
        <v>1150</v>
      </c>
      <c r="G216" s="7" t="s">
        <v>914</v>
      </c>
      <c r="H216" s="7"/>
      <c r="I216" s="7" t="s">
        <v>1456</v>
      </c>
      <c r="J216" s="7" t="str">
        <f aca="false">IF(COUNTIF(Competitions!A:A,B216)&gt;0,"OK","BROKEN")</f>
        <v>OK</v>
      </c>
    </row>
    <row r="217" customFormat="false" ht="15" hidden="false" customHeight="false" outlineLevel="0" collapsed="false">
      <c r="A217" s="7" t="s">
        <v>1476</v>
      </c>
      <c r="B217" s="7" t="s">
        <v>416</v>
      </c>
      <c r="C217" s="8" t="n">
        <v>46280.7083333333</v>
      </c>
      <c r="D217" s="7" t="s">
        <v>987</v>
      </c>
      <c r="E217" s="7" t="s">
        <v>988</v>
      </c>
      <c r="F217" s="7" t="s">
        <v>1150</v>
      </c>
      <c r="G217" s="7" t="s">
        <v>914</v>
      </c>
      <c r="H217" s="7"/>
      <c r="I217" s="7" t="s">
        <v>1456</v>
      </c>
      <c r="J217" s="7" t="str">
        <f aca="false">IF(COUNTIF(Competitions!A:A,B217)&gt;0,"OK","BROKEN")</f>
        <v>OK</v>
      </c>
    </row>
    <row r="218" customFormat="false" ht="15" hidden="false" customHeight="false" outlineLevel="0" collapsed="false">
      <c r="A218" s="7" t="s">
        <v>1477</v>
      </c>
      <c r="B218" s="7" t="s">
        <v>416</v>
      </c>
      <c r="C218" s="8" t="n">
        <v>46280.8333333333</v>
      </c>
      <c r="D218" s="7" t="s">
        <v>1040</v>
      </c>
      <c r="E218" s="7" t="s">
        <v>282</v>
      </c>
      <c r="F218" s="7" t="s">
        <v>1150</v>
      </c>
      <c r="G218" s="7" t="s">
        <v>914</v>
      </c>
      <c r="H218" s="7"/>
      <c r="I218" s="7" t="s">
        <v>1456</v>
      </c>
      <c r="J218" s="7" t="str">
        <f aca="false">IF(COUNTIF(Competitions!A:A,B218)&gt;0,"OK","BROKEN")</f>
        <v>OK</v>
      </c>
    </row>
    <row r="219" customFormat="false" ht="15" hidden="false" customHeight="false" outlineLevel="0" collapsed="false">
      <c r="A219" s="7" t="s">
        <v>1478</v>
      </c>
      <c r="B219" s="7" t="s">
        <v>437</v>
      </c>
      <c r="C219" s="8" t="n">
        <v>46281.8333333333</v>
      </c>
      <c r="D219" s="7" t="s">
        <v>1479</v>
      </c>
      <c r="E219" s="7" t="s">
        <v>1480</v>
      </c>
      <c r="F219" s="7" t="s">
        <v>1150</v>
      </c>
      <c r="G219" s="7" t="s">
        <v>914</v>
      </c>
      <c r="H219" s="7"/>
      <c r="I219" s="7" t="s">
        <v>1481</v>
      </c>
      <c r="J219" s="7" t="str">
        <f aca="false">IF(COUNTIF(Competitions!A:A,B219)&gt;0,"OK","BROKEN")</f>
        <v>OK</v>
      </c>
    </row>
    <row r="220" customFormat="false" ht="15" hidden="false" customHeight="false" outlineLevel="0" collapsed="false">
      <c r="A220" s="7" t="s">
        <v>1482</v>
      </c>
      <c r="B220" s="7" t="s">
        <v>437</v>
      </c>
      <c r="C220" s="8" t="n">
        <v>46282.0416666667</v>
      </c>
      <c r="D220" s="7" t="s">
        <v>1186</v>
      </c>
      <c r="E220" s="7" t="s">
        <v>1483</v>
      </c>
      <c r="F220" s="7" t="s">
        <v>1150</v>
      </c>
      <c r="G220" s="7" t="s">
        <v>914</v>
      </c>
      <c r="H220" s="7"/>
      <c r="I220" s="7" t="s">
        <v>1481</v>
      </c>
      <c r="J220" s="7" t="str">
        <f aca="false">IF(COUNTIF(Competitions!A:A,B220)&gt;0,"OK","BROKEN")</f>
        <v>OK</v>
      </c>
    </row>
    <row r="221" customFormat="false" ht="15" hidden="false" customHeight="false" outlineLevel="0" collapsed="false">
      <c r="A221" s="7" t="s">
        <v>1484</v>
      </c>
      <c r="B221" s="7" t="s">
        <v>477</v>
      </c>
      <c r="C221" s="8" t="n">
        <v>46282.3125</v>
      </c>
      <c r="D221" s="7" t="s">
        <v>1450</v>
      </c>
      <c r="E221" s="7" t="s">
        <v>1451</v>
      </c>
      <c r="F221" s="7" t="s">
        <v>1485</v>
      </c>
      <c r="G221" s="7" t="s">
        <v>914</v>
      </c>
      <c r="H221" s="7"/>
      <c r="I221" s="7" t="s">
        <v>1453</v>
      </c>
      <c r="J221" s="7" t="str">
        <f aca="false">IF(COUNTIF(Competitions!A:A,B221)&gt;0,"OK","BROKEN")</f>
        <v>OK</v>
      </c>
    </row>
    <row r="222" customFormat="false" ht="15" hidden="false" customHeight="false" outlineLevel="0" collapsed="false">
      <c r="A222" s="7" t="s">
        <v>1486</v>
      </c>
      <c r="B222" s="7" t="s">
        <v>480</v>
      </c>
      <c r="C222" s="8" t="n">
        <v>46282.5625</v>
      </c>
      <c r="D222" s="7" t="s">
        <v>980</v>
      </c>
      <c r="E222" s="7" t="s">
        <v>996</v>
      </c>
      <c r="F222" s="7" t="s">
        <v>1249</v>
      </c>
      <c r="G222" s="7" t="s">
        <v>914</v>
      </c>
      <c r="H222" s="7"/>
      <c r="I222" s="7" t="s">
        <v>1474</v>
      </c>
      <c r="J222" s="7" t="str">
        <f aca="false">IF(COUNTIF(Competitions!A:A,B222)&gt;0,"OK","BROKEN")</f>
        <v>OK</v>
      </c>
    </row>
    <row r="223" customFormat="false" ht="15" hidden="false" customHeight="false" outlineLevel="0" collapsed="false">
      <c r="A223" s="7" t="s">
        <v>1487</v>
      </c>
      <c r="B223" s="7" t="s">
        <v>437</v>
      </c>
      <c r="C223" s="8" t="n">
        <v>46282.8333333333</v>
      </c>
      <c r="D223" s="7" t="s">
        <v>1488</v>
      </c>
      <c r="E223" s="7" t="s">
        <v>1185</v>
      </c>
      <c r="F223" s="7" t="s">
        <v>1150</v>
      </c>
      <c r="G223" s="7" t="s">
        <v>914</v>
      </c>
      <c r="H223" s="7"/>
      <c r="I223" s="7" t="s">
        <v>1481</v>
      </c>
      <c r="J223" s="7" t="str">
        <f aca="false">IF(COUNTIF(Competitions!A:A,B223)&gt;0,"OK","BROKEN")</f>
        <v>OK</v>
      </c>
    </row>
    <row r="224" customFormat="false" ht="15" hidden="false" customHeight="false" outlineLevel="0" collapsed="false">
      <c r="A224" s="7" t="s">
        <v>1489</v>
      </c>
      <c r="B224" s="7" t="s">
        <v>437</v>
      </c>
      <c r="C224" s="8" t="n">
        <v>46283.0416666667</v>
      </c>
      <c r="D224" s="7" t="s">
        <v>1490</v>
      </c>
      <c r="E224" s="7" t="s">
        <v>1491</v>
      </c>
      <c r="F224" s="7" t="s">
        <v>1150</v>
      </c>
      <c r="G224" s="7" t="s">
        <v>914</v>
      </c>
      <c r="H224" s="7"/>
      <c r="I224" s="7" t="s">
        <v>1481</v>
      </c>
      <c r="J224" s="7" t="str">
        <f aca="false">IF(COUNTIF(Competitions!A:A,B224)&gt;0,"OK","BROKEN")</f>
        <v>OK</v>
      </c>
    </row>
    <row r="225" customFormat="false" ht="15" hidden="false" customHeight="false" outlineLevel="0" collapsed="false">
      <c r="A225" s="7" t="s">
        <v>1492</v>
      </c>
      <c r="B225" s="7" t="s">
        <v>477</v>
      </c>
      <c r="C225" s="8" t="n">
        <v>46284.3125</v>
      </c>
      <c r="D225" s="7" t="s">
        <v>1450</v>
      </c>
      <c r="E225" s="7" t="s">
        <v>1451</v>
      </c>
      <c r="F225" s="7" t="s">
        <v>1493</v>
      </c>
      <c r="G225" s="7" t="s">
        <v>914</v>
      </c>
      <c r="H225" s="7"/>
      <c r="I225" s="7" t="s">
        <v>1453</v>
      </c>
      <c r="J225" s="7" t="str">
        <f aca="false">IF(COUNTIF(Competitions!A:A,B225)&gt;0,"OK","BROKEN")</f>
        <v>OK</v>
      </c>
    </row>
    <row r="226" customFormat="false" ht="15" hidden="false" customHeight="false" outlineLevel="0" collapsed="false">
      <c r="A226" s="7" t="s">
        <v>1494</v>
      </c>
      <c r="B226" s="7" t="s">
        <v>480</v>
      </c>
      <c r="C226" s="8" t="n">
        <v>46284.3958333333</v>
      </c>
      <c r="D226" s="7" t="s">
        <v>980</v>
      </c>
      <c r="E226" s="7" t="s">
        <v>996</v>
      </c>
      <c r="F226" s="7" t="s">
        <v>1274</v>
      </c>
      <c r="G226" s="7" t="s">
        <v>914</v>
      </c>
      <c r="H226" s="7"/>
      <c r="I226" s="7" t="s">
        <v>1474</v>
      </c>
      <c r="J226" s="7" t="str">
        <f aca="false">IF(COUNTIF(Competitions!A:A,B226)&gt;0,"OK","BROKEN")</f>
        <v>OK</v>
      </c>
    </row>
    <row r="227" customFormat="false" ht="15" hidden="false" customHeight="false" outlineLevel="0" collapsed="false">
      <c r="A227" s="7" t="s">
        <v>1495</v>
      </c>
      <c r="B227" s="7" t="s">
        <v>435</v>
      </c>
      <c r="C227" s="8" t="n">
        <v>46289</v>
      </c>
      <c r="D227" s="7"/>
      <c r="E227" s="7"/>
      <c r="F227" s="7" t="s">
        <v>1302</v>
      </c>
      <c r="G227" s="7" t="s">
        <v>1303</v>
      </c>
      <c r="H227" s="7"/>
      <c r="I227" s="7"/>
      <c r="J227" s="7" t="str">
        <f aca="false">IF(COUNTIF(Competitions!A:A,B227)&gt;0,"OK","BROKEN")</f>
        <v>OK</v>
      </c>
    </row>
    <row r="228" customFormat="false" ht="15" hidden="false" customHeight="false" outlineLevel="0" collapsed="false">
      <c r="A228" s="7" t="s">
        <v>1496</v>
      </c>
      <c r="B228" s="7" t="s">
        <v>486</v>
      </c>
      <c r="C228" s="8" t="n">
        <v>46301.3958333333</v>
      </c>
      <c r="D228" s="7" t="s">
        <v>974</v>
      </c>
      <c r="E228" s="7" t="s">
        <v>992</v>
      </c>
      <c r="F228" s="7" t="s">
        <v>1452</v>
      </c>
      <c r="G228" s="7" t="s">
        <v>914</v>
      </c>
      <c r="H228" s="7"/>
      <c r="I228" s="7" t="s">
        <v>1497</v>
      </c>
      <c r="J228" s="7" t="str">
        <f aca="false">IF(COUNTIF(Competitions!A:A,B228)&gt;0,"OK","BROKEN")</f>
        <v>OK</v>
      </c>
    </row>
    <row r="229" customFormat="false" ht="15" hidden="false" customHeight="false" outlineLevel="0" collapsed="false">
      <c r="A229" s="7" t="s">
        <v>1498</v>
      </c>
      <c r="B229" s="7" t="s">
        <v>409</v>
      </c>
      <c r="C229" s="8" t="n">
        <v>46304.25</v>
      </c>
      <c r="D229" s="7" t="s">
        <v>1264</v>
      </c>
      <c r="E229" s="7" t="s">
        <v>1022</v>
      </c>
      <c r="F229" s="7" t="s">
        <v>1150</v>
      </c>
      <c r="G229" s="7" t="s">
        <v>914</v>
      </c>
      <c r="H229" s="7"/>
      <c r="I229" s="7" t="s">
        <v>1499</v>
      </c>
      <c r="J229" s="7" t="str">
        <f aca="false">IF(COUNTIF(Competitions!A:A,B229)&gt;0,"OK","BROKEN")</f>
        <v>OK</v>
      </c>
    </row>
    <row r="230" customFormat="false" ht="15" hidden="false" customHeight="false" outlineLevel="0" collapsed="false">
      <c r="A230" s="7" t="s">
        <v>1500</v>
      </c>
      <c r="B230" s="7" t="s">
        <v>486</v>
      </c>
      <c r="C230" s="8" t="n">
        <v>46304.3958333333</v>
      </c>
      <c r="D230" s="7" t="s">
        <v>974</v>
      </c>
      <c r="E230" s="7" t="s">
        <v>992</v>
      </c>
      <c r="F230" s="7" t="s">
        <v>1461</v>
      </c>
      <c r="G230" s="7" t="s">
        <v>914</v>
      </c>
      <c r="H230" s="7"/>
      <c r="I230" s="7" t="s">
        <v>1497</v>
      </c>
      <c r="J230" s="7" t="str">
        <f aca="false">IF(COUNTIF(Competitions!A:A,B230)&gt;0,"OK","BROKEN")</f>
        <v>OK</v>
      </c>
    </row>
    <row r="231" customFormat="false" ht="15" hidden="false" customHeight="false" outlineLevel="0" collapsed="false">
      <c r="A231" s="7" t="s">
        <v>1501</v>
      </c>
      <c r="B231" s="7" t="s">
        <v>409</v>
      </c>
      <c r="C231" s="8" t="n">
        <v>46304.5416666667</v>
      </c>
      <c r="D231" s="7" t="s">
        <v>1025</v>
      </c>
      <c r="E231" s="7" t="s">
        <v>1031</v>
      </c>
      <c r="F231" s="7" t="s">
        <v>1150</v>
      </c>
      <c r="G231" s="7" t="s">
        <v>914</v>
      </c>
      <c r="H231" s="7"/>
      <c r="I231" s="7" t="s">
        <v>1499</v>
      </c>
      <c r="J231" s="7" t="str">
        <f aca="false">IF(COUNTIF(Competitions!A:A,B231)&gt;0,"OK","BROKEN")</f>
        <v>OK</v>
      </c>
    </row>
    <row r="232" customFormat="false" ht="15" hidden="false" customHeight="false" outlineLevel="0" collapsed="false">
      <c r="A232" s="7" t="s">
        <v>1502</v>
      </c>
      <c r="B232" s="7" t="s">
        <v>409</v>
      </c>
      <c r="C232" s="8" t="n">
        <v>46305.25</v>
      </c>
      <c r="D232" s="7" t="s">
        <v>1025</v>
      </c>
      <c r="E232" s="7" t="s">
        <v>1264</v>
      </c>
      <c r="F232" s="7" t="s">
        <v>1150</v>
      </c>
      <c r="G232" s="7" t="s">
        <v>914</v>
      </c>
      <c r="H232" s="7"/>
      <c r="I232" s="7" t="s">
        <v>1499</v>
      </c>
      <c r="J232" s="7" t="str">
        <f aca="false">IF(COUNTIF(Competitions!A:A,B232)&gt;0,"OK","BROKEN")</f>
        <v>OK</v>
      </c>
    </row>
    <row r="233" customFormat="false" ht="15" hidden="false" customHeight="false" outlineLevel="0" collapsed="false">
      <c r="A233" s="7" t="s">
        <v>1503</v>
      </c>
      <c r="B233" s="7" t="s">
        <v>409</v>
      </c>
      <c r="C233" s="8" t="n">
        <v>46305.5416666667</v>
      </c>
      <c r="D233" s="7" t="s">
        <v>1031</v>
      </c>
      <c r="E233" s="7" t="s">
        <v>1022</v>
      </c>
      <c r="F233" s="7" t="s">
        <v>1150</v>
      </c>
      <c r="G233" s="7" t="s">
        <v>914</v>
      </c>
      <c r="H233" s="7"/>
      <c r="I233" s="7" t="s">
        <v>1499</v>
      </c>
      <c r="J233" s="7" t="str">
        <f aca="false">IF(COUNTIF(Competitions!A:A,B233)&gt;0,"OK","BROKEN")</f>
        <v>OK</v>
      </c>
    </row>
    <row r="234" customFormat="false" ht="15" hidden="false" customHeight="false" outlineLevel="0" collapsed="false">
      <c r="A234" s="7" t="s">
        <v>1504</v>
      </c>
      <c r="B234" s="7" t="s">
        <v>409</v>
      </c>
      <c r="C234" s="8" t="n">
        <v>46306.25</v>
      </c>
      <c r="D234" s="7" t="s">
        <v>1022</v>
      </c>
      <c r="E234" s="7" t="s">
        <v>1025</v>
      </c>
      <c r="F234" s="7" t="s">
        <v>1150</v>
      </c>
      <c r="G234" s="7" t="s">
        <v>914</v>
      </c>
      <c r="H234" s="7"/>
      <c r="I234" s="7" t="s">
        <v>1499</v>
      </c>
      <c r="J234" s="7" t="str">
        <f aca="false">IF(COUNTIF(Competitions!A:A,B234)&gt;0,"OK","BROKEN")</f>
        <v>OK</v>
      </c>
    </row>
    <row r="235" customFormat="false" ht="15" hidden="false" customHeight="false" outlineLevel="0" collapsed="false">
      <c r="A235" s="7" t="s">
        <v>1505</v>
      </c>
      <c r="B235" s="7" t="s">
        <v>486</v>
      </c>
      <c r="C235" s="8" t="n">
        <v>46306.3958333333</v>
      </c>
      <c r="D235" s="7" t="s">
        <v>974</v>
      </c>
      <c r="E235" s="7" t="s">
        <v>992</v>
      </c>
      <c r="F235" s="7" t="s">
        <v>1471</v>
      </c>
      <c r="G235" s="7" t="s">
        <v>914</v>
      </c>
      <c r="H235" s="7"/>
      <c r="I235" s="7" t="s">
        <v>1497</v>
      </c>
      <c r="J235" s="7" t="str">
        <f aca="false">IF(COUNTIF(Competitions!A:A,B235)&gt;0,"OK","BROKEN")</f>
        <v>OK</v>
      </c>
    </row>
    <row r="236" customFormat="false" ht="15" hidden="false" customHeight="false" outlineLevel="0" collapsed="false">
      <c r="A236" s="7" t="s">
        <v>1506</v>
      </c>
      <c r="B236" s="7" t="s">
        <v>409</v>
      </c>
      <c r="C236" s="8" t="n">
        <v>46306.5416666667</v>
      </c>
      <c r="D236" s="7" t="s">
        <v>1031</v>
      </c>
      <c r="E236" s="7" t="s">
        <v>1264</v>
      </c>
      <c r="F236" s="7" t="s">
        <v>1150</v>
      </c>
      <c r="G236" s="7" t="s">
        <v>914</v>
      </c>
      <c r="H236" s="7"/>
      <c r="I236" s="7" t="s">
        <v>1499</v>
      </c>
      <c r="J236" s="7" t="str">
        <f aca="false">IF(COUNTIF(Competitions!A:A,B236)&gt;0,"OK","BROKEN")</f>
        <v>OK</v>
      </c>
    </row>
    <row r="237" customFormat="false" ht="15" hidden="false" customHeight="false" outlineLevel="0" collapsed="false">
      <c r="A237" s="7" t="s">
        <v>1507</v>
      </c>
      <c r="B237" s="7" t="s">
        <v>486</v>
      </c>
      <c r="C237" s="8" t="n">
        <v>46309.3958333333</v>
      </c>
      <c r="D237" s="7" t="s">
        <v>974</v>
      </c>
      <c r="E237" s="7" t="s">
        <v>992</v>
      </c>
      <c r="F237" s="7" t="s">
        <v>1485</v>
      </c>
      <c r="G237" s="7" t="s">
        <v>914</v>
      </c>
      <c r="H237" s="7"/>
      <c r="I237" s="7" t="s">
        <v>1497</v>
      </c>
      <c r="J237" s="7" t="str">
        <f aca="false">IF(COUNTIF(Competitions!A:A,B237)&gt;0,"OK","BROKEN")</f>
        <v>OK</v>
      </c>
    </row>
    <row r="238" customFormat="false" ht="15" hidden="false" customHeight="false" outlineLevel="0" collapsed="false">
      <c r="A238" s="7" t="s">
        <v>1508</v>
      </c>
      <c r="B238" s="7" t="s">
        <v>486</v>
      </c>
      <c r="C238" s="8" t="n">
        <v>46312.3958333333</v>
      </c>
      <c r="D238" s="7" t="s">
        <v>974</v>
      </c>
      <c r="E238" s="7" t="s">
        <v>992</v>
      </c>
      <c r="F238" s="7" t="s">
        <v>1493</v>
      </c>
      <c r="G238" s="7" t="s">
        <v>914</v>
      </c>
      <c r="H238" s="7"/>
      <c r="I238" s="7" t="s">
        <v>1497</v>
      </c>
      <c r="J238" s="7" t="str">
        <f aca="false">IF(COUNTIF(Competitions!A:A,B238)&gt;0,"OK","BROKEN")</f>
        <v>OK</v>
      </c>
    </row>
    <row r="239" customFormat="false" ht="15" hidden="false" customHeight="false" outlineLevel="0" collapsed="false">
      <c r="A239" s="7" t="s">
        <v>1509</v>
      </c>
      <c r="B239" s="7" t="s">
        <v>464</v>
      </c>
      <c r="C239" s="8" t="n">
        <v>46327</v>
      </c>
      <c r="D239" s="7"/>
      <c r="E239" s="7"/>
      <c r="F239" s="7" t="s">
        <v>1302</v>
      </c>
      <c r="G239" s="7" t="s">
        <v>1303</v>
      </c>
      <c r="H239" s="7"/>
      <c r="I239" s="7"/>
      <c r="J239" s="7" t="str">
        <f aca="false">IF(COUNTIF(Competitions!A:A,B239)&gt;0,"OK","BROKEN")</f>
        <v>OK</v>
      </c>
    </row>
    <row r="240" customFormat="false" ht="15" hidden="false" customHeight="false" outlineLevel="0" collapsed="false">
      <c r="A240" s="7" t="s">
        <v>1510</v>
      </c>
      <c r="B240" s="7" t="s">
        <v>445</v>
      </c>
      <c r="C240" s="8" t="n">
        <v>46327</v>
      </c>
      <c r="D240" s="7"/>
      <c r="E240" s="7"/>
      <c r="F240" s="7" t="s">
        <v>1302</v>
      </c>
      <c r="G240" s="7" t="s">
        <v>1303</v>
      </c>
      <c r="H240" s="7"/>
      <c r="I240" s="7"/>
      <c r="J240" s="7" t="str">
        <f aca="false">IF(COUNTIF(Competitions!A:A,B240)&gt;0,"OK","BROKEN")</f>
        <v>OK</v>
      </c>
    </row>
    <row r="241" customFormat="false" ht="15" hidden="false" customHeight="false" outlineLevel="0" collapsed="false">
      <c r="A241" s="7" t="s">
        <v>1511</v>
      </c>
      <c r="B241" s="7" t="s">
        <v>409</v>
      </c>
      <c r="C241" s="8" t="n">
        <v>46351.9583333333</v>
      </c>
      <c r="D241" s="7" t="s">
        <v>1512</v>
      </c>
      <c r="E241" s="7" t="s">
        <v>1338</v>
      </c>
      <c r="F241" s="7" t="s">
        <v>1150</v>
      </c>
      <c r="G241" s="7" t="s">
        <v>914</v>
      </c>
      <c r="H241" s="7"/>
      <c r="I241" s="7" t="s">
        <v>1499</v>
      </c>
      <c r="J241" s="7" t="str">
        <f aca="false">IF(COUNTIF(Competitions!A:A,B241)&gt;0,"OK","BROKEN")</f>
        <v>OK</v>
      </c>
    </row>
    <row r="242" customFormat="false" ht="15" hidden="false" customHeight="false" outlineLevel="0" collapsed="false">
      <c r="A242" s="7" t="s">
        <v>1513</v>
      </c>
      <c r="B242" s="7" t="s">
        <v>449</v>
      </c>
      <c r="C242" s="8" t="n">
        <v>46352</v>
      </c>
      <c r="D242" s="7" t="s">
        <v>1395</v>
      </c>
      <c r="E242" s="7" t="s">
        <v>1033</v>
      </c>
      <c r="F242" s="7" t="s">
        <v>1514</v>
      </c>
      <c r="G242" s="7" t="s">
        <v>1116</v>
      </c>
      <c r="H242" s="7"/>
      <c r="I242" s="7" t="s">
        <v>1515</v>
      </c>
      <c r="J242" s="7" t="str">
        <f aca="false">IF(COUNTIF(Competitions!A:A,B242)&gt;0,"OK","BROKEN")</f>
        <v>OK</v>
      </c>
    </row>
    <row r="243" customFormat="false" ht="15" hidden="false" customHeight="false" outlineLevel="0" collapsed="false">
      <c r="A243" s="7" t="s">
        <v>1516</v>
      </c>
      <c r="B243" s="7" t="s">
        <v>384</v>
      </c>
      <c r="C243" s="8" t="n">
        <v>46352</v>
      </c>
      <c r="D243" s="7" t="s">
        <v>1362</v>
      </c>
      <c r="E243" s="7" t="s">
        <v>1177</v>
      </c>
      <c r="F243" s="7" t="s">
        <v>1517</v>
      </c>
      <c r="G243" s="7" t="s">
        <v>1116</v>
      </c>
      <c r="H243" s="7"/>
      <c r="I243" s="7" t="s">
        <v>1515</v>
      </c>
      <c r="J243" s="7" t="str">
        <f aca="false">IF(COUNTIF(Competitions!A:A,B243)&gt;0,"OK","BROKEN")</f>
        <v>OK</v>
      </c>
    </row>
    <row r="244" customFormat="false" ht="15" hidden="false" customHeight="false" outlineLevel="0" collapsed="false">
      <c r="A244" s="7" t="s">
        <v>1518</v>
      </c>
      <c r="B244" s="7" t="s">
        <v>449</v>
      </c>
      <c r="C244" s="8" t="n">
        <v>46352</v>
      </c>
      <c r="D244" s="7" t="s">
        <v>1058</v>
      </c>
      <c r="E244" s="7" t="s">
        <v>1076</v>
      </c>
      <c r="F244" s="7" t="s">
        <v>1514</v>
      </c>
      <c r="G244" s="7" t="s">
        <v>1116</v>
      </c>
      <c r="H244" s="7"/>
      <c r="I244" s="7" t="s">
        <v>1515</v>
      </c>
      <c r="J244" s="7" t="str">
        <f aca="false">IF(COUNTIF(Competitions!A:A,B244)&gt;0,"OK","BROKEN")</f>
        <v>OK</v>
      </c>
    </row>
    <row r="245" customFormat="false" ht="15" hidden="false" customHeight="false" outlineLevel="0" collapsed="false">
      <c r="A245" s="7" t="s">
        <v>1519</v>
      </c>
      <c r="B245" s="7" t="s">
        <v>449</v>
      </c>
      <c r="C245" s="8" t="n">
        <v>46352</v>
      </c>
      <c r="D245" s="7" t="s">
        <v>1161</v>
      </c>
      <c r="E245" s="7" t="s">
        <v>1037</v>
      </c>
      <c r="F245" s="7" t="s">
        <v>1514</v>
      </c>
      <c r="G245" s="7" t="s">
        <v>1116</v>
      </c>
      <c r="H245" s="7"/>
      <c r="I245" s="7" t="s">
        <v>1515</v>
      </c>
      <c r="J245" s="7" t="str">
        <f aca="false">IF(COUNTIF(Competitions!A:A,B245)&gt;0,"OK","BROKEN")</f>
        <v>OK</v>
      </c>
    </row>
    <row r="246" customFormat="false" ht="15" hidden="false" customHeight="false" outlineLevel="0" collapsed="false">
      <c r="A246" s="7" t="s">
        <v>1520</v>
      </c>
      <c r="B246" s="7" t="s">
        <v>449</v>
      </c>
      <c r="C246" s="8" t="n">
        <v>46352</v>
      </c>
      <c r="D246" s="7" t="s">
        <v>1075</v>
      </c>
      <c r="E246" s="7" t="s">
        <v>1041</v>
      </c>
      <c r="F246" s="7" t="s">
        <v>1514</v>
      </c>
      <c r="G246" s="7" t="s">
        <v>1116</v>
      </c>
      <c r="H246" s="7"/>
      <c r="I246" s="7" t="s">
        <v>1515</v>
      </c>
      <c r="J246" s="7" t="str">
        <f aca="false">IF(COUNTIF(Competitions!A:A,B246)&gt;0,"OK","BROKEN")</f>
        <v>OK</v>
      </c>
    </row>
    <row r="247" customFormat="false" ht="15" hidden="false" customHeight="false" outlineLevel="0" collapsed="false">
      <c r="A247" s="7" t="s">
        <v>1521</v>
      </c>
      <c r="B247" s="7" t="s">
        <v>392</v>
      </c>
      <c r="C247" s="8" t="n">
        <v>46352</v>
      </c>
      <c r="D247" s="7" t="s">
        <v>1378</v>
      </c>
      <c r="E247" s="7" t="s">
        <v>1376</v>
      </c>
      <c r="F247" s="7" t="s">
        <v>1517</v>
      </c>
      <c r="G247" s="7" t="s">
        <v>1116</v>
      </c>
      <c r="H247" s="7"/>
      <c r="I247" s="7" t="s">
        <v>1515</v>
      </c>
      <c r="J247" s="7" t="str">
        <f aca="false">IF(COUNTIF(Competitions!A:A,B247)&gt;0,"OK","BROKEN")</f>
        <v>OK</v>
      </c>
    </row>
    <row r="248" customFormat="false" ht="15" hidden="false" customHeight="false" outlineLevel="0" collapsed="false">
      <c r="A248" s="7" t="s">
        <v>1522</v>
      </c>
      <c r="B248" s="7" t="s">
        <v>392</v>
      </c>
      <c r="C248" s="8" t="n">
        <v>46352</v>
      </c>
      <c r="D248" s="7" t="s">
        <v>1171</v>
      </c>
      <c r="E248" s="7" t="s">
        <v>1057</v>
      </c>
      <c r="F248" s="7" t="s">
        <v>1517</v>
      </c>
      <c r="G248" s="7" t="s">
        <v>1116</v>
      </c>
      <c r="H248" s="7"/>
      <c r="I248" s="7" t="s">
        <v>1515</v>
      </c>
      <c r="J248" s="7" t="str">
        <f aca="false">IF(COUNTIF(Competitions!A:A,B248)&gt;0,"OK","BROKEN")</f>
        <v>OK</v>
      </c>
    </row>
    <row r="249" customFormat="false" ht="15" hidden="false" customHeight="false" outlineLevel="0" collapsed="false">
      <c r="A249" s="7" t="s">
        <v>1523</v>
      </c>
      <c r="B249" s="7" t="s">
        <v>392</v>
      </c>
      <c r="C249" s="8" t="n">
        <v>46352</v>
      </c>
      <c r="D249" s="7" t="s">
        <v>1055</v>
      </c>
      <c r="E249" s="7" t="s">
        <v>1372</v>
      </c>
      <c r="F249" s="7" t="s">
        <v>1517</v>
      </c>
      <c r="G249" s="7" t="s">
        <v>1116</v>
      </c>
      <c r="H249" s="7"/>
      <c r="I249" s="7" t="s">
        <v>1515</v>
      </c>
      <c r="J249" s="7" t="str">
        <f aca="false">IF(COUNTIF(Competitions!A:A,B249)&gt;0,"OK","BROKEN")</f>
        <v>OK</v>
      </c>
    </row>
    <row r="250" customFormat="false" ht="15" hidden="false" customHeight="false" outlineLevel="0" collapsed="false">
      <c r="A250" s="7" t="s">
        <v>1524</v>
      </c>
      <c r="B250" s="7" t="s">
        <v>392</v>
      </c>
      <c r="C250" s="8" t="n">
        <v>46352</v>
      </c>
      <c r="D250" s="7" t="s">
        <v>1022</v>
      </c>
      <c r="E250" s="7" t="s">
        <v>1380</v>
      </c>
      <c r="F250" s="7" t="s">
        <v>1517</v>
      </c>
      <c r="G250" s="7" t="s">
        <v>1116</v>
      </c>
      <c r="H250" s="7"/>
      <c r="I250" s="7" t="s">
        <v>1515</v>
      </c>
      <c r="J250" s="7" t="str">
        <f aca="false">IF(COUNTIF(Competitions!A:A,B250)&gt;0,"OK","BROKEN")</f>
        <v>OK</v>
      </c>
    </row>
    <row r="251" customFormat="false" ht="15" hidden="false" customHeight="false" outlineLevel="0" collapsed="false">
      <c r="A251" s="7" t="s">
        <v>1525</v>
      </c>
      <c r="B251" s="7" t="s">
        <v>392</v>
      </c>
      <c r="C251" s="8" t="n">
        <v>46352</v>
      </c>
      <c r="D251" s="7" t="s">
        <v>1373</v>
      </c>
      <c r="E251" s="7" t="s">
        <v>1031</v>
      </c>
      <c r="F251" s="7" t="s">
        <v>1517</v>
      </c>
      <c r="G251" s="7" t="s">
        <v>1116</v>
      </c>
      <c r="H251" s="7"/>
      <c r="I251" s="7" t="s">
        <v>1515</v>
      </c>
      <c r="J251" s="7" t="str">
        <f aca="false">IF(COUNTIF(Competitions!A:A,B251)&gt;0,"OK","BROKEN")</f>
        <v>OK</v>
      </c>
    </row>
    <row r="252" customFormat="false" ht="15" hidden="false" customHeight="false" outlineLevel="0" collapsed="false">
      <c r="A252" s="7" t="s">
        <v>1526</v>
      </c>
      <c r="B252" s="7" t="s">
        <v>388</v>
      </c>
      <c r="C252" s="8" t="n">
        <v>46352</v>
      </c>
      <c r="D252" s="7" t="s">
        <v>1072</v>
      </c>
      <c r="E252" s="7" t="s">
        <v>1040</v>
      </c>
      <c r="F252" s="7" t="s">
        <v>1517</v>
      </c>
      <c r="G252" s="7" t="s">
        <v>1116</v>
      </c>
      <c r="H252" s="7"/>
      <c r="I252" s="7" t="s">
        <v>1515</v>
      </c>
      <c r="J252" s="7" t="str">
        <f aca="false">IF(COUNTIF(Competitions!A:A,B252)&gt;0,"OK","BROKEN")</f>
        <v>OK</v>
      </c>
    </row>
    <row r="253" customFormat="false" ht="15" hidden="false" customHeight="false" outlineLevel="0" collapsed="false">
      <c r="A253" s="7" t="s">
        <v>1527</v>
      </c>
      <c r="B253" s="7" t="s">
        <v>388</v>
      </c>
      <c r="C253" s="8" t="n">
        <v>46352</v>
      </c>
      <c r="D253" s="7" t="s">
        <v>1061</v>
      </c>
      <c r="E253" s="7" t="s">
        <v>1347</v>
      </c>
      <c r="F253" s="7" t="s">
        <v>1517</v>
      </c>
      <c r="G253" s="7" t="s">
        <v>1116</v>
      </c>
      <c r="H253" s="7"/>
      <c r="I253" s="7" t="s">
        <v>1515</v>
      </c>
      <c r="J253" s="7" t="str">
        <f aca="false">IF(COUNTIF(Competitions!A:A,B253)&gt;0,"OK","BROKEN")</f>
        <v>OK</v>
      </c>
    </row>
    <row r="254" customFormat="false" ht="15" hidden="false" customHeight="false" outlineLevel="0" collapsed="false">
      <c r="A254" s="7" t="s">
        <v>1528</v>
      </c>
      <c r="B254" s="7" t="s">
        <v>388</v>
      </c>
      <c r="C254" s="8" t="n">
        <v>46352</v>
      </c>
      <c r="D254" s="7" t="s">
        <v>1346</v>
      </c>
      <c r="E254" s="7" t="s">
        <v>1038</v>
      </c>
      <c r="F254" s="7" t="s">
        <v>1517</v>
      </c>
      <c r="G254" s="7" t="s">
        <v>1116</v>
      </c>
      <c r="H254" s="7"/>
      <c r="I254" s="7" t="s">
        <v>1515</v>
      </c>
      <c r="J254" s="7" t="str">
        <f aca="false">IF(COUNTIF(Competitions!A:A,B254)&gt;0,"OK","BROKEN")</f>
        <v>OK</v>
      </c>
    </row>
    <row r="255" customFormat="false" ht="15" hidden="false" customHeight="false" outlineLevel="0" collapsed="false">
      <c r="A255" s="7" t="s">
        <v>1529</v>
      </c>
      <c r="B255" s="7" t="s">
        <v>384</v>
      </c>
      <c r="C255" s="8" t="n">
        <v>46352</v>
      </c>
      <c r="D255" s="7" t="s">
        <v>1262</v>
      </c>
      <c r="E255" s="7" t="s">
        <v>1034</v>
      </c>
      <c r="F255" s="7" t="s">
        <v>1517</v>
      </c>
      <c r="G255" s="7" t="s">
        <v>1116</v>
      </c>
      <c r="H255" s="7"/>
      <c r="I255" s="7" t="s">
        <v>1515</v>
      </c>
      <c r="J255" s="7" t="str">
        <f aca="false">IF(COUNTIF(Competitions!A:A,B255)&gt;0,"OK","BROKEN")</f>
        <v>OK</v>
      </c>
    </row>
    <row r="256" customFormat="false" ht="15" hidden="false" customHeight="false" outlineLevel="0" collapsed="false">
      <c r="A256" s="7" t="s">
        <v>1530</v>
      </c>
      <c r="B256" s="7" t="s">
        <v>392</v>
      </c>
      <c r="C256" s="8" t="n">
        <v>46352</v>
      </c>
      <c r="D256" s="7" t="s">
        <v>1383</v>
      </c>
      <c r="E256" s="7" t="s">
        <v>1159</v>
      </c>
      <c r="F256" s="7" t="s">
        <v>1517</v>
      </c>
      <c r="G256" s="7" t="s">
        <v>1116</v>
      </c>
      <c r="H256" s="7"/>
      <c r="I256" s="7" t="s">
        <v>1515</v>
      </c>
      <c r="J256" s="7" t="str">
        <f aca="false">IF(COUNTIF(Competitions!A:A,B256)&gt;0,"OK","BROKEN")</f>
        <v>OK</v>
      </c>
    </row>
    <row r="257" customFormat="false" ht="15" hidden="false" customHeight="false" outlineLevel="0" collapsed="false">
      <c r="A257" s="7" t="s">
        <v>1531</v>
      </c>
      <c r="B257" s="7" t="s">
        <v>384</v>
      </c>
      <c r="C257" s="8" t="n">
        <v>46352</v>
      </c>
      <c r="D257" s="7" t="s">
        <v>1050</v>
      </c>
      <c r="E257" s="7" t="s">
        <v>1358</v>
      </c>
      <c r="F257" s="7" t="s">
        <v>1517</v>
      </c>
      <c r="G257" s="7" t="s">
        <v>1116</v>
      </c>
      <c r="H257" s="7"/>
      <c r="I257" s="7" t="s">
        <v>1515</v>
      </c>
      <c r="J257" s="7" t="str">
        <f aca="false">IF(COUNTIF(Competitions!A:A,B257)&gt;0,"OK","BROKEN")</f>
        <v>OK</v>
      </c>
    </row>
    <row r="258" customFormat="false" ht="15" hidden="false" customHeight="false" outlineLevel="0" collapsed="false">
      <c r="A258" s="7" t="s">
        <v>1532</v>
      </c>
      <c r="B258" s="7" t="s">
        <v>409</v>
      </c>
      <c r="C258" s="8" t="n">
        <v>46352.2291666667</v>
      </c>
      <c r="D258" s="7" t="s">
        <v>1533</v>
      </c>
      <c r="E258" s="7" t="s">
        <v>1040</v>
      </c>
      <c r="F258" s="7" t="s">
        <v>1150</v>
      </c>
      <c r="G258" s="7" t="s">
        <v>914</v>
      </c>
      <c r="H258" s="7"/>
      <c r="I258" s="7" t="s">
        <v>1499</v>
      </c>
      <c r="J258" s="7" t="str">
        <f aca="false">IF(COUNTIF(Competitions!A:A,B258)&gt;0,"OK","BROKEN")</f>
        <v>OK</v>
      </c>
    </row>
    <row r="259" customFormat="false" ht="15" hidden="false" customHeight="false" outlineLevel="0" collapsed="false">
      <c r="A259" s="7" t="s">
        <v>1534</v>
      </c>
      <c r="B259" s="7" t="s">
        <v>409</v>
      </c>
      <c r="C259" s="8" t="n">
        <v>46352.9583333333</v>
      </c>
      <c r="D259" s="7" t="s">
        <v>1533</v>
      </c>
      <c r="E259" s="7" t="s">
        <v>1512</v>
      </c>
      <c r="F259" s="7" t="s">
        <v>1150</v>
      </c>
      <c r="G259" s="7" t="s">
        <v>914</v>
      </c>
      <c r="H259" s="7"/>
      <c r="I259" s="7" t="s">
        <v>1499</v>
      </c>
      <c r="J259" s="7" t="str">
        <f aca="false">IF(COUNTIF(Competitions!A:A,B259)&gt;0,"OK","BROKEN")</f>
        <v>OK</v>
      </c>
    </row>
    <row r="260" customFormat="false" ht="15" hidden="false" customHeight="false" outlineLevel="0" collapsed="false">
      <c r="A260" s="7" t="s">
        <v>1535</v>
      </c>
      <c r="B260" s="7" t="s">
        <v>384</v>
      </c>
      <c r="C260" s="8" t="n">
        <v>46353</v>
      </c>
      <c r="D260" s="7" t="s">
        <v>1024</v>
      </c>
      <c r="E260" s="7" t="s">
        <v>282</v>
      </c>
      <c r="F260" s="7" t="s">
        <v>1517</v>
      </c>
      <c r="G260" s="7" t="s">
        <v>1116</v>
      </c>
      <c r="H260" s="7"/>
      <c r="I260" s="7" t="s">
        <v>1515</v>
      </c>
      <c r="J260" s="7" t="str">
        <f aca="false">IF(COUNTIF(Competitions!A:A,B260)&gt;0,"OK","BROKEN")</f>
        <v>OK</v>
      </c>
    </row>
    <row r="261" customFormat="false" ht="15" hidden="false" customHeight="false" outlineLevel="0" collapsed="false">
      <c r="A261" s="7" t="s">
        <v>1536</v>
      </c>
      <c r="B261" s="7" t="s">
        <v>384</v>
      </c>
      <c r="C261" s="8" t="n">
        <v>46353</v>
      </c>
      <c r="D261" s="7" t="s">
        <v>1264</v>
      </c>
      <c r="E261" s="7" t="s">
        <v>1176</v>
      </c>
      <c r="F261" s="7" t="s">
        <v>1517</v>
      </c>
      <c r="G261" s="7" t="s">
        <v>1116</v>
      </c>
      <c r="H261" s="7"/>
      <c r="I261" s="7" t="s">
        <v>1515</v>
      </c>
      <c r="J261" s="7" t="str">
        <f aca="false">IF(COUNTIF(Competitions!A:A,B261)&gt;0,"OK","BROKEN")</f>
        <v>OK</v>
      </c>
    </row>
    <row r="262" customFormat="false" ht="15" hidden="false" customHeight="false" outlineLevel="0" collapsed="false">
      <c r="A262" s="7" t="s">
        <v>1537</v>
      </c>
      <c r="B262" s="7" t="s">
        <v>384</v>
      </c>
      <c r="C262" s="8" t="n">
        <v>46353</v>
      </c>
      <c r="D262" s="7" t="s">
        <v>1258</v>
      </c>
      <c r="E262" s="7" t="s">
        <v>1168</v>
      </c>
      <c r="F262" s="7" t="s">
        <v>1517</v>
      </c>
      <c r="G262" s="7" t="s">
        <v>1116</v>
      </c>
      <c r="H262" s="7"/>
      <c r="I262" s="7" t="s">
        <v>1515</v>
      </c>
      <c r="J262" s="7" t="str">
        <f aca="false">IF(COUNTIF(Competitions!A:A,B262)&gt;0,"OK","BROKEN")</f>
        <v>OK</v>
      </c>
    </row>
    <row r="263" customFormat="false" ht="15" hidden="false" customHeight="false" outlineLevel="0" collapsed="false">
      <c r="A263" s="7" t="s">
        <v>1538</v>
      </c>
      <c r="B263" s="7" t="s">
        <v>388</v>
      </c>
      <c r="C263" s="8" t="n">
        <v>46353</v>
      </c>
      <c r="D263" s="7" t="s">
        <v>1364</v>
      </c>
      <c r="E263" s="7" t="s">
        <v>984</v>
      </c>
      <c r="F263" s="7" t="s">
        <v>1517</v>
      </c>
      <c r="G263" s="7" t="s">
        <v>1116</v>
      </c>
      <c r="H263" s="7"/>
      <c r="I263" s="7" t="s">
        <v>1515</v>
      </c>
      <c r="J263" s="7" t="str">
        <f aca="false">IF(COUNTIF(Competitions!A:A,B263)&gt;0,"OK","BROKEN")</f>
        <v>OK</v>
      </c>
    </row>
    <row r="264" customFormat="false" ht="15" hidden="false" customHeight="false" outlineLevel="0" collapsed="false">
      <c r="A264" s="7" t="s">
        <v>1539</v>
      </c>
      <c r="B264" s="7" t="s">
        <v>388</v>
      </c>
      <c r="C264" s="8" t="n">
        <v>46353</v>
      </c>
      <c r="D264" s="7" t="s">
        <v>1369</v>
      </c>
      <c r="E264" s="7" t="s">
        <v>987</v>
      </c>
      <c r="F264" s="7" t="s">
        <v>1517</v>
      </c>
      <c r="G264" s="7" t="s">
        <v>1116</v>
      </c>
      <c r="H264" s="7"/>
      <c r="I264" s="7" t="s">
        <v>1515</v>
      </c>
      <c r="J264" s="7" t="str">
        <f aca="false">IF(COUNTIF(Competitions!A:A,B264)&gt;0,"OK","BROKEN")</f>
        <v>OK</v>
      </c>
    </row>
    <row r="265" customFormat="false" ht="15" hidden="false" customHeight="false" outlineLevel="0" collapsed="false">
      <c r="A265" s="7" t="s">
        <v>1540</v>
      </c>
      <c r="B265" s="7" t="s">
        <v>388</v>
      </c>
      <c r="C265" s="8" t="n">
        <v>46353</v>
      </c>
      <c r="D265" s="7" t="s">
        <v>1366</v>
      </c>
      <c r="E265" s="7" t="s">
        <v>1069</v>
      </c>
      <c r="F265" s="7" t="s">
        <v>1517</v>
      </c>
      <c r="G265" s="7" t="s">
        <v>1116</v>
      </c>
      <c r="H265" s="7"/>
      <c r="I265" s="7" t="s">
        <v>1515</v>
      </c>
      <c r="J265" s="7" t="str">
        <f aca="false">IF(COUNTIF(Competitions!A:A,B265)&gt;0,"OK","BROKEN")</f>
        <v>OK</v>
      </c>
    </row>
    <row r="266" customFormat="false" ht="15" hidden="false" customHeight="false" outlineLevel="0" collapsed="false">
      <c r="A266" s="7" t="s">
        <v>1541</v>
      </c>
      <c r="B266" s="7" t="s">
        <v>392</v>
      </c>
      <c r="C266" s="8" t="n">
        <v>46353</v>
      </c>
      <c r="D266" s="7" t="s">
        <v>1158</v>
      </c>
      <c r="E266" s="7" t="s">
        <v>1063</v>
      </c>
      <c r="F266" s="7" t="s">
        <v>1517</v>
      </c>
      <c r="G266" s="7" t="s">
        <v>1116</v>
      </c>
      <c r="H266" s="7"/>
      <c r="I266" s="7" t="s">
        <v>1515</v>
      </c>
      <c r="J266" s="7" t="str">
        <f aca="false">IF(COUNTIF(Competitions!A:A,B266)&gt;0,"OK","BROKEN")</f>
        <v>OK</v>
      </c>
    </row>
    <row r="267" customFormat="false" ht="15" hidden="false" customHeight="false" outlineLevel="0" collapsed="false">
      <c r="A267" s="7" t="s">
        <v>1542</v>
      </c>
      <c r="B267" s="7" t="s">
        <v>392</v>
      </c>
      <c r="C267" s="8" t="n">
        <v>46353</v>
      </c>
      <c r="D267" s="7" t="s">
        <v>1341</v>
      </c>
      <c r="E267" s="7" t="s">
        <v>1025</v>
      </c>
      <c r="F267" s="7" t="s">
        <v>1517</v>
      </c>
      <c r="G267" s="7" t="s">
        <v>1116</v>
      </c>
      <c r="H267" s="7"/>
      <c r="I267" s="7" t="s">
        <v>1515</v>
      </c>
      <c r="J267" s="7" t="str">
        <f aca="false">IF(COUNTIF(Competitions!A:A,B267)&gt;0,"OK","BROKEN")</f>
        <v>OK</v>
      </c>
    </row>
    <row r="268" customFormat="false" ht="15" hidden="false" customHeight="false" outlineLevel="0" collapsed="false">
      <c r="A268" s="7" t="s">
        <v>1543</v>
      </c>
      <c r="B268" s="7" t="s">
        <v>392</v>
      </c>
      <c r="C268" s="8" t="n">
        <v>46353</v>
      </c>
      <c r="D268" s="7" t="s">
        <v>1002</v>
      </c>
      <c r="E268" s="7" t="s">
        <v>1343</v>
      </c>
      <c r="F268" s="7" t="s">
        <v>1517</v>
      </c>
      <c r="G268" s="7" t="s">
        <v>1116</v>
      </c>
      <c r="H268" s="7"/>
      <c r="I268" s="7" t="s">
        <v>1515</v>
      </c>
      <c r="J268" s="7" t="str">
        <f aca="false">IF(COUNTIF(Competitions!A:A,B268)&gt;0,"OK","BROKEN")</f>
        <v>OK</v>
      </c>
    </row>
    <row r="269" customFormat="false" ht="15" hidden="false" customHeight="false" outlineLevel="0" collapsed="false">
      <c r="A269" s="7" t="s">
        <v>1544</v>
      </c>
      <c r="B269" s="7" t="s">
        <v>392</v>
      </c>
      <c r="C269" s="8" t="n">
        <v>46353</v>
      </c>
      <c r="D269" s="7" t="s">
        <v>1059</v>
      </c>
      <c r="E269" s="7" t="s">
        <v>1044</v>
      </c>
      <c r="F269" s="7" t="s">
        <v>1517</v>
      </c>
      <c r="G269" s="7" t="s">
        <v>1116</v>
      </c>
      <c r="H269" s="7"/>
      <c r="I269" s="7" t="s">
        <v>1515</v>
      </c>
      <c r="J269" s="7" t="str">
        <f aca="false">IF(COUNTIF(Competitions!A:A,B269)&gt;0,"OK","BROKEN")</f>
        <v>OK</v>
      </c>
    </row>
    <row r="270" customFormat="false" ht="15" hidden="false" customHeight="false" outlineLevel="0" collapsed="false">
      <c r="A270" s="7" t="s">
        <v>1545</v>
      </c>
      <c r="B270" s="7" t="s">
        <v>392</v>
      </c>
      <c r="C270" s="8" t="n">
        <v>46353</v>
      </c>
      <c r="D270" s="7" t="s">
        <v>1153</v>
      </c>
      <c r="E270" s="7" t="s">
        <v>1062</v>
      </c>
      <c r="F270" s="7" t="s">
        <v>1517</v>
      </c>
      <c r="G270" s="7" t="s">
        <v>1116</v>
      </c>
      <c r="H270" s="7"/>
      <c r="I270" s="7" t="s">
        <v>1515</v>
      </c>
      <c r="J270" s="7" t="str">
        <f aca="false">IF(COUNTIF(Competitions!A:A,B270)&gt;0,"OK","BROKEN")</f>
        <v>OK</v>
      </c>
    </row>
    <row r="271" customFormat="false" ht="15" hidden="false" customHeight="false" outlineLevel="0" collapsed="false">
      <c r="A271" s="7" t="s">
        <v>1546</v>
      </c>
      <c r="B271" s="7" t="s">
        <v>392</v>
      </c>
      <c r="C271" s="8" t="n">
        <v>46353</v>
      </c>
      <c r="D271" s="7" t="s">
        <v>1036</v>
      </c>
      <c r="E271" s="7" t="s">
        <v>1333</v>
      </c>
      <c r="F271" s="7" t="s">
        <v>1517</v>
      </c>
      <c r="G271" s="7" t="s">
        <v>1116</v>
      </c>
      <c r="H271" s="7"/>
      <c r="I271" s="7" t="s">
        <v>1515</v>
      </c>
      <c r="J271" s="7" t="str">
        <f aca="false">IF(COUNTIF(Competitions!A:A,B271)&gt;0,"OK","BROKEN")</f>
        <v>OK</v>
      </c>
    </row>
    <row r="272" customFormat="false" ht="15" hidden="false" customHeight="false" outlineLevel="0" collapsed="false">
      <c r="A272" s="7" t="s">
        <v>1547</v>
      </c>
      <c r="B272" s="7" t="s">
        <v>409</v>
      </c>
      <c r="C272" s="8" t="n">
        <v>46353.2291666667</v>
      </c>
      <c r="D272" s="7" t="s">
        <v>1040</v>
      </c>
      <c r="E272" s="7" t="s">
        <v>1338</v>
      </c>
      <c r="F272" s="7" t="s">
        <v>1150</v>
      </c>
      <c r="G272" s="7" t="s">
        <v>914</v>
      </c>
      <c r="H272" s="7"/>
      <c r="I272" s="7" t="s">
        <v>1499</v>
      </c>
      <c r="J272" s="7" t="str">
        <f aca="false">IF(COUNTIF(Competitions!A:A,B272)&gt;0,"OK","BROKEN")</f>
        <v>OK</v>
      </c>
    </row>
    <row r="273" customFormat="false" ht="15" hidden="false" customHeight="false" outlineLevel="0" collapsed="false">
      <c r="A273" s="7" t="s">
        <v>1548</v>
      </c>
      <c r="B273" s="7" t="s">
        <v>409</v>
      </c>
      <c r="C273" s="8" t="n">
        <v>46353.9583333333</v>
      </c>
      <c r="D273" s="7" t="s">
        <v>1338</v>
      </c>
      <c r="E273" s="7" t="s">
        <v>1533</v>
      </c>
      <c r="F273" s="7" t="s">
        <v>1150</v>
      </c>
      <c r="G273" s="7" t="s">
        <v>914</v>
      </c>
      <c r="H273" s="7"/>
      <c r="I273" s="7" t="s">
        <v>1499</v>
      </c>
      <c r="J273" s="7" t="str">
        <f aca="false">IF(COUNTIF(Competitions!A:A,B273)&gt;0,"OK","BROKEN")</f>
        <v>OK</v>
      </c>
    </row>
    <row r="274" customFormat="false" ht="15" hidden="false" customHeight="false" outlineLevel="0" collapsed="false">
      <c r="A274" s="7" t="s">
        <v>1549</v>
      </c>
      <c r="B274" s="7" t="s">
        <v>409</v>
      </c>
      <c r="C274" s="8" t="n">
        <v>46354.2291666667</v>
      </c>
      <c r="D274" s="7" t="s">
        <v>1040</v>
      </c>
      <c r="E274" s="7" t="s">
        <v>1512</v>
      </c>
      <c r="F274" s="7" t="s">
        <v>1150</v>
      </c>
      <c r="G274" s="7" t="s">
        <v>914</v>
      </c>
      <c r="H274" s="7"/>
      <c r="I274" s="7" t="s">
        <v>1499</v>
      </c>
      <c r="J274" s="7" t="str">
        <f aca="false">IF(COUNTIF(Competitions!A:A,B274)&gt;0,"OK","BROKEN")</f>
        <v>OK</v>
      </c>
    </row>
    <row r="275" customFormat="false" ht="15" hidden="false" customHeight="false" outlineLevel="0" collapsed="false">
      <c r="A275" s="7" t="s">
        <v>1550</v>
      </c>
      <c r="B275" s="7" t="s">
        <v>388</v>
      </c>
      <c r="C275" s="8" t="n">
        <v>46355</v>
      </c>
      <c r="D275" s="7" t="s">
        <v>1072</v>
      </c>
      <c r="E275" s="7" t="s">
        <v>1347</v>
      </c>
      <c r="F275" s="7" t="s">
        <v>1517</v>
      </c>
      <c r="G275" s="7" t="s">
        <v>1116</v>
      </c>
      <c r="H275" s="7"/>
      <c r="I275" s="7" t="s">
        <v>1515</v>
      </c>
      <c r="J275" s="7" t="str">
        <f aca="false">IF(COUNTIF(Competitions!A:A,B275)&gt;0,"OK","BROKEN")</f>
        <v>OK</v>
      </c>
    </row>
    <row r="276" customFormat="false" ht="15" hidden="false" customHeight="false" outlineLevel="0" collapsed="false">
      <c r="A276" s="7" t="s">
        <v>1551</v>
      </c>
      <c r="B276" s="7" t="s">
        <v>388</v>
      </c>
      <c r="C276" s="8" t="n">
        <v>46355</v>
      </c>
      <c r="D276" s="7" t="s">
        <v>1346</v>
      </c>
      <c r="E276" s="7" t="s">
        <v>1040</v>
      </c>
      <c r="F276" s="7" t="s">
        <v>1517</v>
      </c>
      <c r="G276" s="7" t="s">
        <v>1116</v>
      </c>
      <c r="H276" s="7"/>
      <c r="I276" s="7" t="s">
        <v>1515</v>
      </c>
      <c r="J276" s="7" t="str">
        <f aca="false">IF(COUNTIF(Competitions!A:A,B276)&gt;0,"OK","BROKEN")</f>
        <v>OK</v>
      </c>
    </row>
    <row r="277" customFormat="false" ht="15" hidden="false" customHeight="false" outlineLevel="0" collapsed="false">
      <c r="A277" s="7" t="s">
        <v>1552</v>
      </c>
      <c r="B277" s="7" t="s">
        <v>384</v>
      </c>
      <c r="C277" s="8" t="n">
        <v>46355</v>
      </c>
      <c r="D277" s="7" t="s">
        <v>1050</v>
      </c>
      <c r="E277" s="7" t="s">
        <v>1034</v>
      </c>
      <c r="F277" s="7" t="s">
        <v>1517</v>
      </c>
      <c r="G277" s="7" t="s">
        <v>1116</v>
      </c>
      <c r="H277" s="7"/>
      <c r="I277" s="7" t="s">
        <v>1515</v>
      </c>
      <c r="J277" s="7" t="str">
        <f aca="false">IF(COUNTIF(Competitions!A:A,B277)&gt;0,"OK","BROKEN")</f>
        <v>OK</v>
      </c>
    </row>
    <row r="278" customFormat="false" ht="15" hidden="false" customHeight="false" outlineLevel="0" collapsed="false">
      <c r="A278" s="7" t="s">
        <v>1553</v>
      </c>
      <c r="B278" s="7" t="s">
        <v>384</v>
      </c>
      <c r="C278" s="8" t="n">
        <v>46355</v>
      </c>
      <c r="D278" s="7" t="s">
        <v>1362</v>
      </c>
      <c r="E278" s="7" t="s">
        <v>1358</v>
      </c>
      <c r="F278" s="7" t="s">
        <v>1517</v>
      </c>
      <c r="G278" s="7" t="s">
        <v>1116</v>
      </c>
      <c r="H278" s="7"/>
      <c r="I278" s="7" t="s">
        <v>1515</v>
      </c>
      <c r="J278" s="7" t="str">
        <f aca="false">IF(COUNTIF(Competitions!A:A,B278)&gt;0,"OK","BROKEN")</f>
        <v>OK</v>
      </c>
    </row>
    <row r="279" customFormat="false" ht="15" hidden="false" customHeight="false" outlineLevel="0" collapsed="false">
      <c r="A279" s="7" t="s">
        <v>1554</v>
      </c>
      <c r="B279" s="7" t="s">
        <v>449</v>
      </c>
      <c r="C279" s="8" t="n">
        <v>46355</v>
      </c>
      <c r="D279" s="7" t="s">
        <v>1060</v>
      </c>
      <c r="E279" s="7" t="s">
        <v>1076</v>
      </c>
      <c r="F279" s="7" t="s">
        <v>1514</v>
      </c>
      <c r="G279" s="7" t="s">
        <v>1116</v>
      </c>
      <c r="H279" s="7"/>
      <c r="I279" s="7" t="s">
        <v>1515</v>
      </c>
      <c r="J279" s="7" t="str">
        <f aca="false">IF(COUNTIF(Competitions!A:A,B279)&gt;0,"OK","BROKEN")</f>
        <v>OK</v>
      </c>
    </row>
    <row r="280" customFormat="false" ht="15" hidden="false" customHeight="false" outlineLevel="0" collapsed="false">
      <c r="A280" s="7" t="s">
        <v>1555</v>
      </c>
      <c r="B280" s="7" t="s">
        <v>449</v>
      </c>
      <c r="C280" s="8" t="n">
        <v>46355</v>
      </c>
      <c r="D280" s="7" t="s">
        <v>1053</v>
      </c>
      <c r="E280" s="7" t="s">
        <v>1033</v>
      </c>
      <c r="F280" s="7" t="s">
        <v>1514</v>
      </c>
      <c r="G280" s="7" t="s">
        <v>1116</v>
      </c>
      <c r="H280" s="7"/>
      <c r="I280" s="7" t="s">
        <v>1515</v>
      </c>
      <c r="J280" s="7" t="str">
        <f aca="false">IF(COUNTIF(Competitions!A:A,B280)&gt;0,"OK","BROKEN")</f>
        <v>OK</v>
      </c>
    </row>
    <row r="281" customFormat="false" ht="15" hidden="false" customHeight="false" outlineLevel="0" collapsed="false">
      <c r="A281" s="7" t="s">
        <v>1556</v>
      </c>
      <c r="B281" s="7" t="s">
        <v>449</v>
      </c>
      <c r="C281" s="8" t="n">
        <v>46355</v>
      </c>
      <c r="D281" s="7" t="s">
        <v>1338</v>
      </c>
      <c r="E281" s="7" t="s">
        <v>1037</v>
      </c>
      <c r="F281" s="7" t="s">
        <v>1514</v>
      </c>
      <c r="G281" s="7" t="s">
        <v>1116</v>
      </c>
      <c r="H281" s="7"/>
      <c r="I281" s="7" t="s">
        <v>1515</v>
      </c>
      <c r="J281" s="7" t="str">
        <f aca="false">IF(COUNTIF(Competitions!A:A,B281)&gt;0,"OK","BROKEN")</f>
        <v>OK</v>
      </c>
    </row>
    <row r="282" customFormat="false" ht="15" hidden="false" customHeight="false" outlineLevel="0" collapsed="false">
      <c r="A282" s="7" t="s">
        <v>1557</v>
      </c>
      <c r="B282" s="7" t="s">
        <v>449</v>
      </c>
      <c r="C282" s="8" t="n">
        <v>46355</v>
      </c>
      <c r="D282" s="7" t="s">
        <v>1051</v>
      </c>
      <c r="E282" s="7" t="s">
        <v>1041</v>
      </c>
      <c r="F282" s="7" t="s">
        <v>1514</v>
      </c>
      <c r="G282" s="7" t="s">
        <v>1116</v>
      </c>
      <c r="H282" s="7"/>
      <c r="I282" s="7" t="s">
        <v>1515</v>
      </c>
      <c r="J282" s="7" t="str">
        <f aca="false">IF(COUNTIF(Competitions!A:A,B282)&gt;0,"OK","BROKEN")</f>
        <v>OK</v>
      </c>
    </row>
    <row r="283" customFormat="false" ht="15" hidden="false" customHeight="false" outlineLevel="0" collapsed="false">
      <c r="A283" s="7" t="s">
        <v>1558</v>
      </c>
      <c r="B283" s="7" t="s">
        <v>392</v>
      </c>
      <c r="C283" s="8" t="n">
        <v>46355</v>
      </c>
      <c r="D283" s="7" t="s">
        <v>1376</v>
      </c>
      <c r="E283" s="7" t="s">
        <v>1171</v>
      </c>
      <c r="F283" s="7" t="s">
        <v>1517</v>
      </c>
      <c r="G283" s="7" t="s">
        <v>1116</v>
      </c>
      <c r="H283" s="7"/>
      <c r="I283" s="7" t="s">
        <v>1515</v>
      </c>
      <c r="J283" s="7" t="str">
        <f aca="false">IF(COUNTIF(Competitions!A:A,B283)&gt;0,"OK","BROKEN")</f>
        <v>OK</v>
      </c>
    </row>
    <row r="284" customFormat="false" ht="15" hidden="false" customHeight="false" outlineLevel="0" collapsed="false">
      <c r="A284" s="7" t="s">
        <v>1559</v>
      </c>
      <c r="B284" s="7" t="s">
        <v>392</v>
      </c>
      <c r="C284" s="8" t="n">
        <v>46355</v>
      </c>
      <c r="D284" s="7" t="s">
        <v>1057</v>
      </c>
      <c r="E284" s="7" t="s">
        <v>1022</v>
      </c>
      <c r="F284" s="7" t="s">
        <v>1517</v>
      </c>
      <c r="G284" s="7" t="s">
        <v>1116</v>
      </c>
      <c r="H284" s="7"/>
      <c r="I284" s="7" t="s">
        <v>1515</v>
      </c>
      <c r="J284" s="7" t="str">
        <f aca="false">IF(COUNTIF(Competitions!A:A,B284)&gt;0,"OK","BROKEN")</f>
        <v>OK</v>
      </c>
    </row>
    <row r="285" customFormat="false" ht="15" hidden="false" customHeight="false" outlineLevel="0" collapsed="false">
      <c r="A285" s="7" t="s">
        <v>1560</v>
      </c>
      <c r="B285" s="7" t="s">
        <v>388</v>
      </c>
      <c r="C285" s="8" t="n">
        <v>46355</v>
      </c>
      <c r="D285" s="7" t="s">
        <v>1061</v>
      </c>
      <c r="E285" s="7" t="s">
        <v>1038</v>
      </c>
      <c r="F285" s="7" t="s">
        <v>1517</v>
      </c>
      <c r="G285" s="7" t="s">
        <v>1116</v>
      </c>
      <c r="H285" s="7"/>
      <c r="I285" s="7" t="s">
        <v>1515</v>
      </c>
      <c r="J285" s="7" t="str">
        <f aca="false">IF(COUNTIF(Competitions!A:A,B285)&gt;0,"OK","BROKEN")</f>
        <v>OK</v>
      </c>
    </row>
    <row r="286" customFormat="false" ht="15" hidden="false" customHeight="false" outlineLevel="0" collapsed="false">
      <c r="A286" s="7" t="s">
        <v>1561</v>
      </c>
      <c r="B286" s="7" t="s">
        <v>392</v>
      </c>
      <c r="C286" s="8" t="n">
        <v>46355</v>
      </c>
      <c r="D286" s="7" t="s">
        <v>1372</v>
      </c>
      <c r="E286" s="7" t="s">
        <v>1383</v>
      </c>
      <c r="F286" s="7" t="s">
        <v>1517</v>
      </c>
      <c r="G286" s="7" t="s">
        <v>1116</v>
      </c>
      <c r="H286" s="7"/>
      <c r="I286" s="7" t="s">
        <v>1515</v>
      </c>
      <c r="J286" s="7" t="str">
        <f aca="false">IF(COUNTIF(Competitions!A:A,B286)&gt;0,"OK","BROKEN")</f>
        <v>OK</v>
      </c>
    </row>
    <row r="287" customFormat="false" ht="15" hidden="false" customHeight="false" outlineLevel="0" collapsed="false">
      <c r="A287" s="7" t="s">
        <v>1562</v>
      </c>
      <c r="B287" s="7" t="s">
        <v>392</v>
      </c>
      <c r="C287" s="8" t="n">
        <v>46355</v>
      </c>
      <c r="D287" s="7" t="s">
        <v>1159</v>
      </c>
      <c r="E287" s="7" t="s">
        <v>1373</v>
      </c>
      <c r="F287" s="7" t="s">
        <v>1517</v>
      </c>
      <c r="G287" s="7" t="s">
        <v>1116</v>
      </c>
      <c r="H287" s="7"/>
      <c r="I287" s="7" t="s">
        <v>1515</v>
      </c>
      <c r="J287" s="7" t="str">
        <f aca="false">IF(COUNTIF(Competitions!A:A,B287)&gt;0,"OK","BROKEN")</f>
        <v>OK</v>
      </c>
    </row>
    <row r="288" customFormat="false" ht="15" hidden="false" customHeight="false" outlineLevel="0" collapsed="false">
      <c r="A288" s="7" t="s">
        <v>1563</v>
      </c>
      <c r="B288" s="7" t="s">
        <v>392</v>
      </c>
      <c r="C288" s="8" t="n">
        <v>46355</v>
      </c>
      <c r="D288" s="7" t="s">
        <v>1031</v>
      </c>
      <c r="E288" s="7" t="s">
        <v>1055</v>
      </c>
      <c r="F288" s="7" t="s">
        <v>1517</v>
      </c>
      <c r="G288" s="7" t="s">
        <v>1116</v>
      </c>
      <c r="H288" s="7"/>
      <c r="I288" s="7" t="s">
        <v>1515</v>
      </c>
      <c r="J288" s="7" t="str">
        <f aca="false">IF(COUNTIF(Competitions!A:A,B288)&gt;0,"OK","BROKEN")</f>
        <v>OK</v>
      </c>
    </row>
    <row r="289" customFormat="false" ht="15" hidden="false" customHeight="false" outlineLevel="0" collapsed="false">
      <c r="A289" s="7" t="s">
        <v>1564</v>
      </c>
      <c r="B289" s="7" t="s">
        <v>384</v>
      </c>
      <c r="C289" s="8" t="n">
        <v>46355</v>
      </c>
      <c r="D289" s="7" t="s">
        <v>1177</v>
      </c>
      <c r="E289" s="7" t="s">
        <v>1262</v>
      </c>
      <c r="F289" s="7" t="s">
        <v>1517</v>
      </c>
      <c r="G289" s="7" t="s">
        <v>1116</v>
      </c>
      <c r="H289" s="7"/>
      <c r="I289" s="7" t="s">
        <v>1515</v>
      </c>
      <c r="J289" s="7" t="str">
        <f aca="false">IF(COUNTIF(Competitions!A:A,B289)&gt;0,"OK","BROKEN")</f>
        <v>OK</v>
      </c>
    </row>
    <row r="290" customFormat="false" ht="15" hidden="false" customHeight="false" outlineLevel="0" collapsed="false">
      <c r="A290" s="7" t="s">
        <v>1565</v>
      </c>
      <c r="B290" s="7" t="s">
        <v>392</v>
      </c>
      <c r="C290" s="8" t="n">
        <v>46355</v>
      </c>
      <c r="D290" s="7" t="s">
        <v>1380</v>
      </c>
      <c r="E290" s="7" t="s">
        <v>1378</v>
      </c>
      <c r="F290" s="7" t="s">
        <v>1517</v>
      </c>
      <c r="G290" s="7" t="s">
        <v>1116</v>
      </c>
      <c r="H290" s="7"/>
      <c r="I290" s="7" t="s">
        <v>1515</v>
      </c>
      <c r="J290" s="7" t="str">
        <f aca="false">IF(COUNTIF(Competitions!A:A,B290)&gt;0,"OK","BROKEN")</f>
        <v>OK</v>
      </c>
    </row>
    <row r="291" customFormat="false" ht="15" hidden="false" customHeight="false" outlineLevel="0" collapsed="false">
      <c r="A291" s="7" t="s">
        <v>1566</v>
      </c>
      <c r="B291" s="7" t="s">
        <v>384</v>
      </c>
      <c r="C291" s="8" t="n">
        <v>46356</v>
      </c>
      <c r="D291" s="7" t="s">
        <v>1024</v>
      </c>
      <c r="E291" s="7" t="s">
        <v>1168</v>
      </c>
      <c r="F291" s="7" t="s">
        <v>1517</v>
      </c>
      <c r="G291" s="7" t="s">
        <v>1116</v>
      </c>
      <c r="H291" s="7"/>
      <c r="I291" s="7" t="s">
        <v>1515</v>
      </c>
      <c r="J291" s="7" t="str">
        <f aca="false">IF(COUNTIF(Competitions!A:A,B291)&gt;0,"OK","BROKEN")</f>
        <v>OK</v>
      </c>
    </row>
    <row r="292" customFormat="false" ht="15" hidden="false" customHeight="false" outlineLevel="0" collapsed="false">
      <c r="A292" s="7" t="s">
        <v>1567</v>
      </c>
      <c r="B292" s="7" t="s">
        <v>392</v>
      </c>
      <c r="C292" s="8" t="n">
        <v>46356</v>
      </c>
      <c r="D292" s="7" t="s">
        <v>1333</v>
      </c>
      <c r="E292" s="7" t="s">
        <v>1153</v>
      </c>
      <c r="F292" s="7" t="s">
        <v>1517</v>
      </c>
      <c r="G292" s="7" t="s">
        <v>1116</v>
      </c>
      <c r="H292" s="7"/>
      <c r="I292" s="7" t="s">
        <v>1515</v>
      </c>
      <c r="J292" s="7" t="str">
        <f aca="false">IF(COUNTIF(Competitions!A:A,B292)&gt;0,"OK","BROKEN")</f>
        <v>OK</v>
      </c>
    </row>
    <row r="293" customFormat="false" ht="15" hidden="false" customHeight="false" outlineLevel="0" collapsed="false">
      <c r="A293" s="7" t="s">
        <v>1568</v>
      </c>
      <c r="B293" s="7" t="s">
        <v>392</v>
      </c>
      <c r="C293" s="8" t="n">
        <v>46356</v>
      </c>
      <c r="D293" s="7" t="s">
        <v>1062</v>
      </c>
      <c r="E293" s="7" t="s">
        <v>1059</v>
      </c>
      <c r="F293" s="7" t="s">
        <v>1517</v>
      </c>
      <c r="G293" s="7" t="s">
        <v>1116</v>
      </c>
      <c r="H293" s="7"/>
      <c r="I293" s="7" t="s">
        <v>1515</v>
      </c>
      <c r="J293" s="7" t="str">
        <f aca="false">IF(COUNTIF(Competitions!A:A,B293)&gt;0,"OK","BROKEN")</f>
        <v>OK</v>
      </c>
    </row>
    <row r="294" customFormat="false" ht="15" hidden="false" customHeight="false" outlineLevel="0" collapsed="false">
      <c r="A294" s="7" t="s">
        <v>1569</v>
      </c>
      <c r="B294" s="7" t="s">
        <v>392</v>
      </c>
      <c r="C294" s="8" t="n">
        <v>46356</v>
      </c>
      <c r="D294" s="7" t="s">
        <v>1044</v>
      </c>
      <c r="E294" s="7" t="s">
        <v>1036</v>
      </c>
      <c r="F294" s="7" t="s">
        <v>1517</v>
      </c>
      <c r="G294" s="7" t="s">
        <v>1116</v>
      </c>
      <c r="H294" s="7"/>
      <c r="I294" s="7" t="s">
        <v>1515</v>
      </c>
      <c r="J294" s="7" t="str">
        <f aca="false">IF(COUNTIF(Competitions!A:A,B294)&gt;0,"OK","BROKEN")</f>
        <v>OK</v>
      </c>
    </row>
    <row r="295" customFormat="false" ht="15" hidden="false" customHeight="false" outlineLevel="0" collapsed="false">
      <c r="A295" s="7" t="s">
        <v>1570</v>
      </c>
      <c r="B295" s="7" t="s">
        <v>392</v>
      </c>
      <c r="C295" s="8" t="n">
        <v>46356</v>
      </c>
      <c r="D295" s="7" t="s">
        <v>1343</v>
      </c>
      <c r="E295" s="7" t="s">
        <v>1341</v>
      </c>
      <c r="F295" s="7" t="s">
        <v>1517</v>
      </c>
      <c r="G295" s="7" t="s">
        <v>1116</v>
      </c>
      <c r="H295" s="7"/>
      <c r="I295" s="7" t="s">
        <v>1515</v>
      </c>
      <c r="J295" s="7" t="str">
        <f aca="false">IF(COUNTIF(Competitions!A:A,B295)&gt;0,"OK","BROKEN")</f>
        <v>OK</v>
      </c>
    </row>
    <row r="296" customFormat="false" ht="15" hidden="false" customHeight="false" outlineLevel="0" collapsed="false">
      <c r="A296" s="7" t="s">
        <v>1571</v>
      </c>
      <c r="B296" s="7" t="s">
        <v>392</v>
      </c>
      <c r="C296" s="8" t="n">
        <v>46356</v>
      </c>
      <c r="D296" s="7" t="s">
        <v>1025</v>
      </c>
      <c r="E296" s="7" t="s">
        <v>1158</v>
      </c>
      <c r="F296" s="7" t="s">
        <v>1517</v>
      </c>
      <c r="G296" s="7" t="s">
        <v>1116</v>
      </c>
      <c r="H296" s="7"/>
      <c r="I296" s="7" t="s">
        <v>1515</v>
      </c>
      <c r="J296" s="7" t="str">
        <f aca="false">IF(COUNTIF(Competitions!A:A,B296)&gt;0,"OK","BROKEN")</f>
        <v>OK</v>
      </c>
    </row>
    <row r="297" customFormat="false" ht="15" hidden="false" customHeight="false" outlineLevel="0" collapsed="false">
      <c r="A297" s="7" t="s">
        <v>1572</v>
      </c>
      <c r="B297" s="7" t="s">
        <v>392</v>
      </c>
      <c r="C297" s="8" t="n">
        <v>46356</v>
      </c>
      <c r="D297" s="7" t="s">
        <v>1063</v>
      </c>
      <c r="E297" s="7" t="s">
        <v>1002</v>
      </c>
      <c r="F297" s="7" t="s">
        <v>1517</v>
      </c>
      <c r="G297" s="7" t="s">
        <v>1116</v>
      </c>
      <c r="H297" s="7"/>
      <c r="I297" s="7" t="s">
        <v>1515</v>
      </c>
      <c r="J297" s="7" t="str">
        <f aca="false">IF(COUNTIF(Competitions!A:A,B297)&gt;0,"OK","BROKEN")</f>
        <v>OK</v>
      </c>
    </row>
    <row r="298" customFormat="false" ht="15" hidden="false" customHeight="false" outlineLevel="0" collapsed="false">
      <c r="A298" s="7" t="s">
        <v>1573</v>
      </c>
      <c r="B298" s="7" t="s">
        <v>388</v>
      </c>
      <c r="C298" s="8" t="n">
        <v>46356</v>
      </c>
      <c r="D298" s="7" t="s">
        <v>1364</v>
      </c>
      <c r="E298" s="7" t="s">
        <v>1069</v>
      </c>
      <c r="F298" s="7" t="s">
        <v>1517</v>
      </c>
      <c r="G298" s="7" t="s">
        <v>1116</v>
      </c>
      <c r="H298" s="7"/>
      <c r="I298" s="7" t="s">
        <v>1515</v>
      </c>
      <c r="J298" s="7" t="str">
        <f aca="false">IF(COUNTIF(Competitions!A:A,B298)&gt;0,"OK","BROKEN")</f>
        <v>OK</v>
      </c>
    </row>
    <row r="299" customFormat="false" ht="15" hidden="false" customHeight="false" outlineLevel="0" collapsed="false">
      <c r="A299" s="7" t="s">
        <v>1574</v>
      </c>
      <c r="B299" s="7" t="s">
        <v>388</v>
      </c>
      <c r="C299" s="8" t="n">
        <v>46356</v>
      </c>
      <c r="D299" s="7" t="s">
        <v>1366</v>
      </c>
      <c r="E299" s="7" t="s">
        <v>987</v>
      </c>
      <c r="F299" s="7" t="s">
        <v>1517</v>
      </c>
      <c r="G299" s="7" t="s">
        <v>1116</v>
      </c>
      <c r="H299" s="7"/>
      <c r="I299" s="7" t="s">
        <v>1515</v>
      </c>
      <c r="J299" s="7" t="str">
        <f aca="false">IF(COUNTIF(Competitions!A:A,B299)&gt;0,"OK","BROKEN")</f>
        <v>OK</v>
      </c>
    </row>
    <row r="300" customFormat="false" ht="15" hidden="false" customHeight="false" outlineLevel="0" collapsed="false">
      <c r="A300" s="7" t="s">
        <v>1575</v>
      </c>
      <c r="B300" s="7" t="s">
        <v>388</v>
      </c>
      <c r="C300" s="8" t="n">
        <v>46356</v>
      </c>
      <c r="D300" s="7" t="s">
        <v>1369</v>
      </c>
      <c r="E300" s="7" t="s">
        <v>984</v>
      </c>
      <c r="F300" s="7" t="s">
        <v>1517</v>
      </c>
      <c r="G300" s="7" t="s">
        <v>1116</v>
      </c>
      <c r="H300" s="7"/>
      <c r="I300" s="7" t="s">
        <v>1515</v>
      </c>
      <c r="J300" s="7" t="str">
        <f aca="false">IF(COUNTIF(Competitions!A:A,B300)&gt;0,"OK","BROKEN")</f>
        <v>OK</v>
      </c>
    </row>
    <row r="301" customFormat="false" ht="15" hidden="false" customHeight="false" outlineLevel="0" collapsed="false">
      <c r="A301" s="7" t="s">
        <v>1576</v>
      </c>
      <c r="B301" s="7" t="s">
        <v>384</v>
      </c>
      <c r="C301" s="8" t="n">
        <v>46356</v>
      </c>
      <c r="D301" s="7" t="s">
        <v>1258</v>
      </c>
      <c r="E301" s="7" t="s">
        <v>1176</v>
      </c>
      <c r="F301" s="7" t="s">
        <v>1517</v>
      </c>
      <c r="G301" s="7" t="s">
        <v>1116</v>
      </c>
      <c r="H301" s="7"/>
      <c r="I301" s="7" t="s">
        <v>1515</v>
      </c>
      <c r="J301" s="7" t="str">
        <f aca="false">IF(COUNTIF(Competitions!A:A,B301)&gt;0,"OK","BROKEN")</f>
        <v>OK</v>
      </c>
    </row>
    <row r="302" customFormat="false" ht="15" hidden="false" customHeight="false" outlineLevel="0" collapsed="false">
      <c r="A302" s="7" t="s">
        <v>1577</v>
      </c>
      <c r="B302" s="7" t="s">
        <v>384</v>
      </c>
      <c r="C302" s="8" t="n">
        <v>46356</v>
      </c>
      <c r="D302" s="7" t="s">
        <v>1264</v>
      </c>
      <c r="E302" s="7" t="s">
        <v>282</v>
      </c>
      <c r="F302" s="7" t="s">
        <v>1517</v>
      </c>
      <c r="G302" s="7" t="s">
        <v>1116</v>
      </c>
      <c r="H302" s="7"/>
      <c r="I302" s="7" t="s">
        <v>1515</v>
      </c>
      <c r="J302" s="7" t="str">
        <f aca="false">IF(COUNTIF(Competitions!A:A,B302)&gt;0,"OK","BROKEN")</f>
        <v>OK</v>
      </c>
    </row>
    <row r="303" customFormat="false" ht="15" hidden="false" customHeight="false" outlineLevel="0" collapsed="false">
      <c r="A303" s="7" t="s">
        <v>1578</v>
      </c>
      <c r="B303" s="7" t="s">
        <v>431</v>
      </c>
      <c r="C303" s="8" t="n">
        <v>46366.4583333333</v>
      </c>
      <c r="D303" s="7" t="s">
        <v>988</v>
      </c>
      <c r="E303" s="7" t="s">
        <v>995</v>
      </c>
      <c r="F303" s="7" t="s">
        <v>1187</v>
      </c>
      <c r="G303" s="7" t="s">
        <v>914</v>
      </c>
      <c r="H303" s="7"/>
      <c r="I303" s="7" t="s">
        <v>1579</v>
      </c>
      <c r="J303" s="7" t="str">
        <f aca="false">IF(COUNTIF(Competitions!A:A,B303)&gt;0,"OK","BROKEN")</f>
        <v>OK</v>
      </c>
    </row>
    <row r="304" customFormat="false" ht="15" hidden="false" customHeight="false" outlineLevel="0" collapsed="false">
      <c r="A304" s="7" t="s">
        <v>1580</v>
      </c>
      <c r="B304" s="7" t="s">
        <v>431</v>
      </c>
      <c r="C304" s="8" t="n">
        <v>46368.3125</v>
      </c>
      <c r="D304" s="7" t="s">
        <v>988</v>
      </c>
      <c r="E304" s="7" t="s">
        <v>995</v>
      </c>
      <c r="F304" s="7" t="s">
        <v>1249</v>
      </c>
      <c r="G304" s="7" t="s">
        <v>914</v>
      </c>
      <c r="H304" s="7"/>
      <c r="I304" s="7" t="s">
        <v>1579</v>
      </c>
      <c r="J304" s="7" t="str">
        <f aca="false">IF(COUNTIF(Competitions!A:A,B304)&gt;0,"OK","BROKEN")</f>
        <v>OK</v>
      </c>
    </row>
    <row r="305" customFormat="false" ht="15" hidden="false" customHeight="false" outlineLevel="0" collapsed="false">
      <c r="A305" s="7" t="s">
        <v>1581</v>
      </c>
      <c r="B305" s="7" t="s">
        <v>431</v>
      </c>
      <c r="C305" s="8" t="n">
        <v>46369.3125</v>
      </c>
      <c r="D305" s="7" t="s">
        <v>988</v>
      </c>
      <c r="E305" s="7" t="s">
        <v>995</v>
      </c>
      <c r="F305" s="7" t="s">
        <v>1274</v>
      </c>
      <c r="G305" s="7" t="s">
        <v>914</v>
      </c>
      <c r="H305" s="7"/>
      <c r="I305" s="7" t="s">
        <v>1579</v>
      </c>
      <c r="J305" s="7" t="str">
        <f aca="false">IF(COUNTIF(Competitions!A:A,B305)&gt;0,"OK","BROKEN")</f>
        <v>OK</v>
      </c>
    </row>
    <row r="306" customFormat="false" ht="15" hidden="false" customHeight="false" outlineLevel="0" collapsed="false">
      <c r="A306" s="7" t="s">
        <v>1582</v>
      </c>
      <c r="B306" s="7" t="s">
        <v>449</v>
      </c>
      <c r="C306" s="8" t="n">
        <v>46443</v>
      </c>
      <c r="D306" s="7" t="s">
        <v>1058</v>
      </c>
      <c r="E306" s="7" t="s">
        <v>1060</v>
      </c>
      <c r="F306" s="7" t="s">
        <v>1583</v>
      </c>
      <c r="G306" s="7" t="s">
        <v>1116</v>
      </c>
      <c r="H306" s="7"/>
      <c r="I306" s="7" t="s">
        <v>1515</v>
      </c>
      <c r="J306" s="7" t="str">
        <f aca="false">IF(COUNTIF(Competitions!A:A,B306)&gt;0,"OK","BROKEN")</f>
        <v>OK</v>
      </c>
    </row>
    <row r="307" customFormat="false" ht="15" hidden="false" customHeight="false" outlineLevel="0" collapsed="false">
      <c r="A307" s="7" t="s">
        <v>1584</v>
      </c>
      <c r="B307" s="7" t="s">
        <v>449</v>
      </c>
      <c r="C307" s="8" t="n">
        <v>46443</v>
      </c>
      <c r="D307" s="7" t="s">
        <v>1395</v>
      </c>
      <c r="E307" s="7" t="s">
        <v>1053</v>
      </c>
      <c r="F307" s="7" t="s">
        <v>1583</v>
      </c>
      <c r="G307" s="7" t="s">
        <v>1116</v>
      </c>
      <c r="H307" s="7"/>
      <c r="I307" s="7" t="s">
        <v>1515</v>
      </c>
      <c r="J307" s="7" t="str">
        <f aca="false">IF(COUNTIF(Competitions!A:A,B307)&gt;0,"OK","BROKEN")</f>
        <v>OK</v>
      </c>
    </row>
    <row r="308" customFormat="false" ht="15" hidden="false" customHeight="false" outlineLevel="0" collapsed="false">
      <c r="A308" s="7" t="s">
        <v>1585</v>
      </c>
      <c r="B308" s="7" t="s">
        <v>392</v>
      </c>
      <c r="C308" s="8" t="n">
        <v>46443</v>
      </c>
      <c r="D308" s="7" t="s">
        <v>1153</v>
      </c>
      <c r="E308" s="7" t="s">
        <v>1044</v>
      </c>
      <c r="F308" s="7" t="s">
        <v>1586</v>
      </c>
      <c r="G308" s="7" t="s">
        <v>1116</v>
      </c>
      <c r="H308" s="7"/>
      <c r="I308" s="7" t="s">
        <v>1515</v>
      </c>
      <c r="J308" s="7" t="str">
        <f aca="false">IF(COUNTIF(Competitions!A:A,B308)&gt;0,"OK","BROKEN")</f>
        <v>OK</v>
      </c>
    </row>
    <row r="309" customFormat="false" ht="15" hidden="false" customHeight="false" outlineLevel="0" collapsed="false">
      <c r="A309" s="7" t="s">
        <v>1587</v>
      </c>
      <c r="B309" s="7" t="s">
        <v>449</v>
      </c>
      <c r="C309" s="8" t="n">
        <v>46443</v>
      </c>
      <c r="D309" s="7" t="s">
        <v>1075</v>
      </c>
      <c r="E309" s="7" t="s">
        <v>1051</v>
      </c>
      <c r="F309" s="7" t="s">
        <v>1583</v>
      </c>
      <c r="G309" s="7" t="s">
        <v>1116</v>
      </c>
      <c r="H309" s="7"/>
      <c r="I309" s="7" t="s">
        <v>1515</v>
      </c>
      <c r="J309" s="7" t="str">
        <f aca="false">IF(COUNTIF(Competitions!A:A,B309)&gt;0,"OK","BROKEN")</f>
        <v>OK</v>
      </c>
    </row>
    <row r="310" customFormat="false" ht="15" hidden="false" customHeight="false" outlineLevel="0" collapsed="false">
      <c r="A310" s="7" t="s">
        <v>1588</v>
      </c>
      <c r="B310" s="7" t="s">
        <v>392</v>
      </c>
      <c r="C310" s="8" t="n">
        <v>46443</v>
      </c>
      <c r="D310" s="7" t="s">
        <v>1158</v>
      </c>
      <c r="E310" s="7" t="s">
        <v>1343</v>
      </c>
      <c r="F310" s="7" t="s">
        <v>1586</v>
      </c>
      <c r="G310" s="7" t="s">
        <v>1116</v>
      </c>
      <c r="H310" s="7"/>
      <c r="I310" s="7" t="s">
        <v>1515</v>
      </c>
      <c r="J310" s="7" t="str">
        <f aca="false">IF(COUNTIF(Competitions!A:A,B310)&gt;0,"OK","BROKEN")</f>
        <v>OK</v>
      </c>
    </row>
    <row r="311" customFormat="false" ht="15" hidden="false" customHeight="false" outlineLevel="0" collapsed="false">
      <c r="A311" s="7" t="s">
        <v>1589</v>
      </c>
      <c r="B311" s="7" t="s">
        <v>392</v>
      </c>
      <c r="C311" s="8" t="n">
        <v>46443</v>
      </c>
      <c r="D311" s="7" t="s">
        <v>1002</v>
      </c>
      <c r="E311" s="7" t="s">
        <v>1025</v>
      </c>
      <c r="F311" s="7" t="s">
        <v>1586</v>
      </c>
      <c r="G311" s="7" t="s">
        <v>1116</v>
      </c>
      <c r="H311" s="7"/>
      <c r="I311" s="7" t="s">
        <v>1515</v>
      </c>
      <c r="J311" s="7" t="str">
        <f aca="false">IF(COUNTIF(Competitions!A:A,B311)&gt;0,"OK","BROKEN")</f>
        <v>OK</v>
      </c>
    </row>
    <row r="312" customFormat="false" ht="15" hidden="false" customHeight="false" outlineLevel="0" collapsed="false">
      <c r="A312" s="7" t="s">
        <v>1590</v>
      </c>
      <c r="B312" s="7" t="s">
        <v>392</v>
      </c>
      <c r="C312" s="8" t="n">
        <v>46443</v>
      </c>
      <c r="D312" s="7" t="s">
        <v>1341</v>
      </c>
      <c r="E312" s="7" t="s">
        <v>1063</v>
      </c>
      <c r="F312" s="7" t="s">
        <v>1586</v>
      </c>
      <c r="G312" s="7" t="s">
        <v>1116</v>
      </c>
      <c r="H312" s="7"/>
      <c r="I312" s="7" t="s">
        <v>1515</v>
      </c>
      <c r="J312" s="7" t="str">
        <f aca="false">IF(COUNTIF(Competitions!A:A,B312)&gt;0,"OK","BROKEN")</f>
        <v>OK</v>
      </c>
    </row>
    <row r="313" customFormat="false" ht="15" hidden="false" customHeight="false" outlineLevel="0" collapsed="false">
      <c r="A313" s="7" t="s">
        <v>1591</v>
      </c>
      <c r="B313" s="7" t="s">
        <v>388</v>
      </c>
      <c r="C313" s="8" t="n">
        <v>46443</v>
      </c>
      <c r="D313" s="7" t="s">
        <v>1069</v>
      </c>
      <c r="E313" s="7" t="s">
        <v>1369</v>
      </c>
      <c r="F313" s="7" t="s">
        <v>1586</v>
      </c>
      <c r="G313" s="7" t="s">
        <v>1116</v>
      </c>
      <c r="H313" s="7"/>
      <c r="I313" s="7" t="s">
        <v>1515</v>
      </c>
      <c r="J313" s="7" t="str">
        <f aca="false">IF(COUNTIF(Competitions!A:A,B313)&gt;0,"OK","BROKEN")</f>
        <v>OK</v>
      </c>
    </row>
    <row r="314" customFormat="false" ht="15" hidden="false" customHeight="false" outlineLevel="0" collapsed="false">
      <c r="A314" s="7" t="s">
        <v>1592</v>
      </c>
      <c r="B314" s="7" t="s">
        <v>388</v>
      </c>
      <c r="C314" s="8" t="n">
        <v>46443</v>
      </c>
      <c r="D314" s="7" t="s">
        <v>987</v>
      </c>
      <c r="E314" s="7" t="s">
        <v>1364</v>
      </c>
      <c r="F314" s="7" t="s">
        <v>1586</v>
      </c>
      <c r="G314" s="7" t="s">
        <v>1116</v>
      </c>
      <c r="H314" s="7"/>
      <c r="I314" s="7" t="s">
        <v>1515</v>
      </c>
      <c r="J314" s="7" t="str">
        <f aca="false">IF(COUNTIF(Competitions!A:A,B314)&gt;0,"OK","BROKEN")</f>
        <v>OK</v>
      </c>
    </row>
    <row r="315" customFormat="false" ht="15" hidden="false" customHeight="false" outlineLevel="0" collapsed="false">
      <c r="A315" s="7" t="s">
        <v>1593</v>
      </c>
      <c r="B315" s="7" t="s">
        <v>388</v>
      </c>
      <c r="C315" s="8" t="n">
        <v>46443</v>
      </c>
      <c r="D315" s="7" t="s">
        <v>984</v>
      </c>
      <c r="E315" s="7" t="s">
        <v>1366</v>
      </c>
      <c r="F315" s="7" t="s">
        <v>1586</v>
      </c>
      <c r="G315" s="7" t="s">
        <v>1116</v>
      </c>
      <c r="H315" s="7"/>
      <c r="I315" s="7" t="s">
        <v>1515</v>
      </c>
      <c r="J315" s="7" t="str">
        <f aca="false">IF(COUNTIF(Competitions!A:A,B315)&gt;0,"OK","BROKEN")</f>
        <v>OK</v>
      </c>
    </row>
    <row r="316" customFormat="false" ht="15" hidden="false" customHeight="false" outlineLevel="0" collapsed="false">
      <c r="A316" s="7" t="s">
        <v>1594</v>
      </c>
      <c r="B316" s="7" t="s">
        <v>384</v>
      </c>
      <c r="C316" s="8" t="n">
        <v>46443</v>
      </c>
      <c r="D316" s="7" t="s">
        <v>1168</v>
      </c>
      <c r="E316" s="7" t="s">
        <v>1264</v>
      </c>
      <c r="F316" s="7" t="s">
        <v>1586</v>
      </c>
      <c r="G316" s="7" t="s">
        <v>1116</v>
      </c>
      <c r="H316" s="7"/>
      <c r="I316" s="7" t="s">
        <v>1515</v>
      </c>
      <c r="J316" s="7" t="str">
        <f aca="false">IF(COUNTIF(Competitions!A:A,B316)&gt;0,"OK","BROKEN")</f>
        <v>OK</v>
      </c>
    </row>
    <row r="317" customFormat="false" ht="15" hidden="false" customHeight="false" outlineLevel="0" collapsed="false">
      <c r="A317" s="7" t="s">
        <v>1595</v>
      </c>
      <c r="B317" s="7" t="s">
        <v>392</v>
      </c>
      <c r="C317" s="8" t="n">
        <v>46443</v>
      </c>
      <c r="D317" s="7" t="s">
        <v>1036</v>
      </c>
      <c r="E317" s="7" t="s">
        <v>1062</v>
      </c>
      <c r="F317" s="7" t="s">
        <v>1586</v>
      </c>
      <c r="G317" s="7" t="s">
        <v>1116</v>
      </c>
      <c r="H317" s="7"/>
      <c r="I317" s="7" t="s">
        <v>1515</v>
      </c>
      <c r="J317" s="7" t="str">
        <f aca="false">IF(COUNTIF(Competitions!A:A,B317)&gt;0,"OK","BROKEN")</f>
        <v>OK</v>
      </c>
    </row>
    <row r="318" customFormat="false" ht="15" hidden="false" customHeight="false" outlineLevel="0" collapsed="false">
      <c r="A318" s="7" t="s">
        <v>1596</v>
      </c>
      <c r="B318" s="7" t="s">
        <v>384</v>
      </c>
      <c r="C318" s="8" t="n">
        <v>46443</v>
      </c>
      <c r="D318" s="7" t="s">
        <v>1176</v>
      </c>
      <c r="E318" s="7" t="s">
        <v>1024</v>
      </c>
      <c r="F318" s="7" t="s">
        <v>1586</v>
      </c>
      <c r="G318" s="7" t="s">
        <v>1116</v>
      </c>
      <c r="H318" s="7"/>
      <c r="I318" s="7" t="s">
        <v>1515</v>
      </c>
      <c r="J318" s="7" t="str">
        <f aca="false">IF(COUNTIF(Competitions!A:A,B318)&gt;0,"OK","BROKEN")</f>
        <v>OK</v>
      </c>
    </row>
    <row r="319" customFormat="false" ht="15" hidden="false" customHeight="false" outlineLevel="0" collapsed="false">
      <c r="A319" s="7" t="s">
        <v>1597</v>
      </c>
      <c r="B319" s="7" t="s">
        <v>384</v>
      </c>
      <c r="C319" s="8" t="n">
        <v>46443</v>
      </c>
      <c r="D319" s="7" t="s">
        <v>282</v>
      </c>
      <c r="E319" s="7" t="s">
        <v>1258</v>
      </c>
      <c r="F319" s="7" t="s">
        <v>1586</v>
      </c>
      <c r="G319" s="7" t="s">
        <v>1116</v>
      </c>
      <c r="H319" s="7"/>
      <c r="I319" s="7" t="s">
        <v>1515</v>
      </c>
      <c r="J319" s="7" t="str">
        <f aca="false">IF(COUNTIF(Competitions!A:A,B319)&gt;0,"OK","BROKEN")</f>
        <v>OK</v>
      </c>
    </row>
    <row r="320" customFormat="false" ht="15" hidden="false" customHeight="false" outlineLevel="0" collapsed="false">
      <c r="A320" s="7" t="s">
        <v>1598</v>
      </c>
      <c r="B320" s="7" t="s">
        <v>378</v>
      </c>
      <c r="C320" s="8" t="n">
        <v>46443</v>
      </c>
      <c r="D320" s="7" t="s">
        <v>1325</v>
      </c>
      <c r="E320" s="7" t="s">
        <v>1324</v>
      </c>
      <c r="F320" s="7" t="s">
        <v>1586</v>
      </c>
      <c r="G320" s="7" t="s">
        <v>1116</v>
      </c>
      <c r="H320" s="7"/>
      <c r="I320" s="7" t="s">
        <v>1515</v>
      </c>
      <c r="J320" s="7" t="str">
        <f aca="false">IF(COUNTIF(Competitions!A:A,B320)&gt;0,"OK","BROKEN")</f>
        <v>OK</v>
      </c>
    </row>
    <row r="321" customFormat="false" ht="15" hidden="false" customHeight="false" outlineLevel="0" collapsed="false">
      <c r="A321" s="7" t="s">
        <v>1599</v>
      </c>
      <c r="B321" s="7" t="s">
        <v>378</v>
      </c>
      <c r="C321" s="8" t="n">
        <v>46443</v>
      </c>
      <c r="D321" s="7" t="s">
        <v>1329</v>
      </c>
      <c r="E321" s="7" t="s">
        <v>1328</v>
      </c>
      <c r="F321" s="7" t="s">
        <v>1586</v>
      </c>
      <c r="G321" s="7" t="s">
        <v>1116</v>
      </c>
      <c r="H321" s="7"/>
      <c r="I321" s="7" t="s">
        <v>1515</v>
      </c>
      <c r="J321" s="7" t="str">
        <f aca="false">IF(COUNTIF(Competitions!A:A,B321)&gt;0,"OK","BROKEN")</f>
        <v>OK</v>
      </c>
    </row>
    <row r="322" customFormat="false" ht="15" hidden="false" customHeight="false" outlineLevel="0" collapsed="false">
      <c r="A322" s="7" t="s">
        <v>1600</v>
      </c>
      <c r="B322" s="7" t="s">
        <v>378</v>
      </c>
      <c r="C322" s="8" t="n">
        <v>46443</v>
      </c>
      <c r="D322" s="7" t="s">
        <v>1309</v>
      </c>
      <c r="E322" s="7" t="s">
        <v>1354</v>
      </c>
      <c r="F322" s="7" t="s">
        <v>1586</v>
      </c>
      <c r="G322" s="7" t="s">
        <v>1116</v>
      </c>
      <c r="H322" s="7"/>
      <c r="I322" s="7" t="s">
        <v>1515</v>
      </c>
      <c r="J322" s="7" t="str">
        <f aca="false">IF(COUNTIF(Competitions!A:A,B322)&gt;0,"OK","BROKEN")</f>
        <v>OK</v>
      </c>
    </row>
    <row r="323" customFormat="false" ht="15" hidden="false" customHeight="false" outlineLevel="0" collapsed="false">
      <c r="A323" s="7" t="s">
        <v>1601</v>
      </c>
      <c r="B323" s="7" t="s">
        <v>378</v>
      </c>
      <c r="C323" s="8" t="n">
        <v>46443</v>
      </c>
      <c r="D323" s="7" t="s">
        <v>1350</v>
      </c>
      <c r="E323" s="7" t="s">
        <v>1349</v>
      </c>
      <c r="F323" s="7" t="s">
        <v>1586</v>
      </c>
      <c r="G323" s="7" t="s">
        <v>1116</v>
      </c>
      <c r="H323" s="7"/>
      <c r="I323" s="7" t="s">
        <v>1515</v>
      </c>
      <c r="J323" s="7" t="str">
        <f aca="false">IF(COUNTIF(Competitions!A:A,B323)&gt;0,"OK","BROKEN")</f>
        <v>OK</v>
      </c>
    </row>
    <row r="324" customFormat="false" ht="15" hidden="false" customHeight="false" outlineLevel="0" collapsed="false">
      <c r="A324" s="7" t="s">
        <v>1602</v>
      </c>
      <c r="B324" s="7" t="s">
        <v>378</v>
      </c>
      <c r="C324" s="8" t="n">
        <v>46443</v>
      </c>
      <c r="D324" s="7" t="s">
        <v>1305</v>
      </c>
      <c r="E324" s="7" t="s">
        <v>1320</v>
      </c>
      <c r="F324" s="7" t="s">
        <v>1586</v>
      </c>
      <c r="G324" s="7" t="s">
        <v>1116</v>
      </c>
      <c r="H324" s="7"/>
      <c r="I324" s="7" t="s">
        <v>1515</v>
      </c>
      <c r="J324" s="7" t="str">
        <f aca="false">IF(COUNTIF(Competitions!A:A,B324)&gt;0,"OK","BROKEN")</f>
        <v>OK</v>
      </c>
    </row>
    <row r="325" customFormat="false" ht="15" hidden="false" customHeight="false" outlineLevel="0" collapsed="false">
      <c r="A325" s="7" t="s">
        <v>1603</v>
      </c>
      <c r="B325" s="7" t="s">
        <v>378</v>
      </c>
      <c r="C325" s="8" t="n">
        <v>46443</v>
      </c>
      <c r="D325" s="7" t="s">
        <v>1066</v>
      </c>
      <c r="E325" s="7" t="s">
        <v>1023</v>
      </c>
      <c r="F325" s="7" t="s">
        <v>1586</v>
      </c>
      <c r="G325" s="7" t="s">
        <v>1116</v>
      </c>
      <c r="H325" s="7"/>
      <c r="I325" s="7" t="s">
        <v>1515</v>
      </c>
      <c r="J325" s="7" t="str">
        <f aca="false">IF(COUNTIF(Competitions!A:A,B325)&gt;0,"OK","BROKEN")</f>
        <v>OK</v>
      </c>
    </row>
    <row r="326" customFormat="false" ht="15" hidden="false" customHeight="false" outlineLevel="0" collapsed="false">
      <c r="A326" s="7" t="s">
        <v>1604</v>
      </c>
      <c r="B326" s="7" t="s">
        <v>392</v>
      </c>
      <c r="C326" s="8" t="n">
        <v>46443</v>
      </c>
      <c r="D326" s="7" t="s">
        <v>1059</v>
      </c>
      <c r="E326" s="7" t="s">
        <v>1333</v>
      </c>
      <c r="F326" s="7" t="s">
        <v>1586</v>
      </c>
      <c r="G326" s="7" t="s">
        <v>1116</v>
      </c>
      <c r="H326" s="7"/>
      <c r="I326" s="7" t="s">
        <v>1515</v>
      </c>
      <c r="J326" s="7" t="str">
        <f aca="false">IF(COUNTIF(Competitions!A:A,B326)&gt;0,"OK","BROKEN")</f>
        <v>OK</v>
      </c>
    </row>
    <row r="327" customFormat="false" ht="15" hidden="false" customHeight="false" outlineLevel="0" collapsed="false">
      <c r="A327" s="7" t="s">
        <v>1605</v>
      </c>
      <c r="B327" s="7" t="s">
        <v>449</v>
      </c>
      <c r="C327" s="8" t="n">
        <v>46443</v>
      </c>
      <c r="D327" s="7" t="s">
        <v>1161</v>
      </c>
      <c r="E327" s="7" t="s">
        <v>1338</v>
      </c>
      <c r="F327" s="7" t="s">
        <v>1583</v>
      </c>
      <c r="G327" s="7" t="s">
        <v>1116</v>
      </c>
      <c r="H327" s="7"/>
      <c r="I327" s="7" t="s">
        <v>1515</v>
      </c>
      <c r="J327" s="7" t="str">
        <f aca="false">IF(COUNTIF(Competitions!A:A,B327)&gt;0,"OK","BROKEN")</f>
        <v>OK</v>
      </c>
    </row>
    <row r="328" customFormat="false" ht="15" hidden="false" customHeight="false" outlineLevel="0" collapsed="false">
      <c r="A328" s="7" t="s">
        <v>1606</v>
      </c>
      <c r="B328" s="7" t="s">
        <v>384</v>
      </c>
      <c r="C328" s="8" t="n">
        <v>46444</v>
      </c>
      <c r="D328" s="7" t="s">
        <v>1358</v>
      </c>
      <c r="E328" s="7" t="s">
        <v>1262</v>
      </c>
      <c r="F328" s="7" t="s">
        <v>1586</v>
      </c>
      <c r="G328" s="7" t="s">
        <v>1116</v>
      </c>
      <c r="H328" s="7"/>
      <c r="I328" s="7" t="s">
        <v>1515</v>
      </c>
      <c r="J328" s="7" t="str">
        <f aca="false">IF(COUNTIF(Competitions!A:A,B328)&gt;0,"OK","BROKEN")</f>
        <v>OK</v>
      </c>
    </row>
    <row r="329" customFormat="false" ht="15" hidden="false" customHeight="false" outlineLevel="0" collapsed="false">
      <c r="A329" s="7" t="s">
        <v>1607</v>
      </c>
      <c r="B329" s="7" t="s">
        <v>392</v>
      </c>
      <c r="C329" s="8" t="n">
        <v>46444</v>
      </c>
      <c r="D329" s="7" t="s">
        <v>1378</v>
      </c>
      <c r="E329" s="7" t="s">
        <v>1057</v>
      </c>
      <c r="F329" s="7" t="s">
        <v>1586</v>
      </c>
      <c r="G329" s="7" t="s">
        <v>1116</v>
      </c>
      <c r="H329" s="7"/>
      <c r="I329" s="7" t="s">
        <v>1515</v>
      </c>
      <c r="J329" s="7" t="str">
        <f aca="false">IF(COUNTIF(Competitions!A:A,B329)&gt;0,"OK","BROKEN")</f>
        <v>OK</v>
      </c>
    </row>
    <row r="330" customFormat="false" ht="15" hidden="false" customHeight="false" outlineLevel="0" collapsed="false">
      <c r="A330" s="7" t="s">
        <v>1608</v>
      </c>
      <c r="B330" s="7" t="s">
        <v>392</v>
      </c>
      <c r="C330" s="8" t="n">
        <v>46444</v>
      </c>
      <c r="D330" s="7" t="s">
        <v>1022</v>
      </c>
      <c r="E330" s="7" t="s">
        <v>1376</v>
      </c>
      <c r="F330" s="7" t="s">
        <v>1586</v>
      </c>
      <c r="G330" s="7" t="s">
        <v>1116</v>
      </c>
      <c r="H330" s="7"/>
      <c r="I330" s="7" t="s">
        <v>1515</v>
      </c>
      <c r="J330" s="7" t="str">
        <f aca="false">IF(COUNTIF(Competitions!A:A,B330)&gt;0,"OK","BROKEN")</f>
        <v>OK</v>
      </c>
    </row>
    <row r="331" customFormat="false" ht="15" hidden="false" customHeight="false" outlineLevel="0" collapsed="false">
      <c r="A331" s="7" t="s">
        <v>1609</v>
      </c>
      <c r="B331" s="7" t="s">
        <v>378</v>
      </c>
      <c r="C331" s="8" t="n">
        <v>46444</v>
      </c>
      <c r="D331" s="7" t="s">
        <v>1349</v>
      </c>
      <c r="E331" s="7" t="s">
        <v>1066</v>
      </c>
      <c r="F331" s="7" t="s">
        <v>1586</v>
      </c>
      <c r="G331" s="7" t="s">
        <v>1116</v>
      </c>
      <c r="H331" s="7"/>
      <c r="I331" s="7" t="s">
        <v>1515</v>
      </c>
      <c r="J331" s="7" t="str">
        <f aca="false">IF(COUNTIF(Competitions!A:A,B331)&gt;0,"OK","BROKEN")</f>
        <v>OK</v>
      </c>
    </row>
    <row r="332" customFormat="false" ht="15" hidden="false" customHeight="false" outlineLevel="0" collapsed="false">
      <c r="A332" s="7" t="s">
        <v>1610</v>
      </c>
      <c r="B332" s="7" t="s">
        <v>378</v>
      </c>
      <c r="C332" s="8" t="n">
        <v>46444</v>
      </c>
      <c r="D332" s="7" t="s">
        <v>1023</v>
      </c>
      <c r="E332" s="7" t="s">
        <v>1305</v>
      </c>
      <c r="F332" s="7" t="s">
        <v>1586</v>
      </c>
      <c r="G332" s="7" t="s">
        <v>1116</v>
      </c>
      <c r="H332" s="7"/>
      <c r="I332" s="7" t="s">
        <v>1515</v>
      </c>
      <c r="J332" s="7" t="str">
        <f aca="false">IF(COUNTIF(Competitions!A:A,B332)&gt;0,"OK","BROKEN")</f>
        <v>OK</v>
      </c>
    </row>
    <row r="333" customFormat="false" ht="15" hidden="false" customHeight="false" outlineLevel="0" collapsed="false">
      <c r="A333" s="7" t="s">
        <v>1611</v>
      </c>
      <c r="B333" s="7" t="s">
        <v>378</v>
      </c>
      <c r="C333" s="8" t="n">
        <v>46444</v>
      </c>
      <c r="D333" s="7" t="s">
        <v>1320</v>
      </c>
      <c r="E333" s="7" t="s">
        <v>1350</v>
      </c>
      <c r="F333" s="7" t="s">
        <v>1586</v>
      </c>
      <c r="G333" s="7" t="s">
        <v>1116</v>
      </c>
      <c r="H333" s="7"/>
      <c r="I333" s="7" t="s">
        <v>1515</v>
      </c>
      <c r="J333" s="7" t="str">
        <f aca="false">IF(COUNTIF(Competitions!A:A,B333)&gt;0,"OK","BROKEN")</f>
        <v>OK</v>
      </c>
    </row>
    <row r="334" customFormat="false" ht="15" hidden="false" customHeight="false" outlineLevel="0" collapsed="false">
      <c r="A334" s="7" t="s">
        <v>1612</v>
      </c>
      <c r="B334" s="7" t="s">
        <v>378</v>
      </c>
      <c r="C334" s="8" t="n">
        <v>46444</v>
      </c>
      <c r="D334" s="7" t="s">
        <v>1324</v>
      </c>
      <c r="E334" s="7" t="s">
        <v>1309</v>
      </c>
      <c r="F334" s="7" t="s">
        <v>1586</v>
      </c>
      <c r="G334" s="7" t="s">
        <v>1116</v>
      </c>
      <c r="H334" s="7"/>
      <c r="I334" s="7" t="s">
        <v>1515</v>
      </c>
      <c r="J334" s="7" t="str">
        <f aca="false">IF(COUNTIF(Competitions!A:A,B334)&gt;0,"OK","BROKEN")</f>
        <v>OK</v>
      </c>
    </row>
    <row r="335" customFormat="false" ht="15" hidden="false" customHeight="false" outlineLevel="0" collapsed="false">
      <c r="A335" s="7" t="s">
        <v>1613</v>
      </c>
      <c r="B335" s="7" t="s">
        <v>378</v>
      </c>
      <c r="C335" s="8" t="n">
        <v>46444</v>
      </c>
      <c r="D335" s="7" t="s">
        <v>1354</v>
      </c>
      <c r="E335" s="7" t="s">
        <v>1329</v>
      </c>
      <c r="F335" s="7" t="s">
        <v>1586</v>
      </c>
      <c r="G335" s="7" t="s">
        <v>1116</v>
      </c>
      <c r="H335" s="7"/>
      <c r="I335" s="7" t="s">
        <v>1515</v>
      </c>
      <c r="J335" s="7" t="str">
        <f aca="false">IF(COUNTIF(Competitions!A:A,B335)&gt;0,"OK","BROKEN")</f>
        <v>OK</v>
      </c>
    </row>
    <row r="336" customFormat="false" ht="15" hidden="false" customHeight="false" outlineLevel="0" collapsed="false">
      <c r="A336" s="7" t="s">
        <v>1614</v>
      </c>
      <c r="B336" s="7" t="s">
        <v>378</v>
      </c>
      <c r="C336" s="8" t="n">
        <v>46444</v>
      </c>
      <c r="D336" s="7" t="s">
        <v>1328</v>
      </c>
      <c r="E336" s="7" t="s">
        <v>1325</v>
      </c>
      <c r="F336" s="7" t="s">
        <v>1586</v>
      </c>
      <c r="G336" s="7" t="s">
        <v>1116</v>
      </c>
      <c r="H336" s="7"/>
      <c r="I336" s="7" t="s">
        <v>1515</v>
      </c>
      <c r="J336" s="7" t="str">
        <f aca="false">IF(COUNTIF(Competitions!A:A,B336)&gt;0,"OK","BROKEN")</f>
        <v>OK</v>
      </c>
    </row>
    <row r="337" customFormat="false" ht="15" hidden="false" customHeight="false" outlineLevel="0" collapsed="false">
      <c r="A337" s="7" t="s">
        <v>1615</v>
      </c>
      <c r="B337" s="7" t="s">
        <v>384</v>
      </c>
      <c r="C337" s="8" t="n">
        <v>46444</v>
      </c>
      <c r="D337" s="7" t="s">
        <v>1034</v>
      </c>
      <c r="E337" s="7" t="s">
        <v>1362</v>
      </c>
      <c r="F337" s="7" t="s">
        <v>1586</v>
      </c>
      <c r="G337" s="7" t="s">
        <v>1116</v>
      </c>
      <c r="H337" s="7"/>
      <c r="I337" s="7" t="s">
        <v>1515</v>
      </c>
      <c r="J337" s="7" t="str">
        <f aca="false">IF(COUNTIF(Competitions!A:A,B337)&gt;0,"OK","BROKEN")</f>
        <v>OK</v>
      </c>
    </row>
    <row r="338" customFormat="false" ht="15" hidden="false" customHeight="false" outlineLevel="0" collapsed="false">
      <c r="A338" s="7" t="s">
        <v>1616</v>
      </c>
      <c r="B338" s="7" t="s">
        <v>388</v>
      </c>
      <c r="C338" s="8" t="n">
        <v>46444</v>
      </c>
      <c r="D338" s="7" t="s">
        <v>1038</v>
      </c>
      <c r="E338" s="7" t="s">
        <v>1072</v>
      </c>
      <c r="F338" s="7" t="s">
        <v>1586</v>
      </c>
      <c r="G338" s="7" t="s">
        <v>1116</v>
      </c>
      <c r="H338" s="7"/>
      <c r="I338" s="7" t="s">
        <v>1515</v>
      </c>
      <c r="J338" s="7" t="str">
        <f aca="false">IF(COUNTIF(Competitions!A:A,B338)&gt;0,"OK","BROKEN")</f>
        <v>OK</v>
      </c>
    </row>
    <row r="339" customFormat="false" ht="15" hidden="false" customHeight="false" outlineLevel="0" collapsed="false">
      <c r="A339" s="7" t="s">
        <v>1617</v>
      </c>
      <c r="B339" s="7" t="s">
        <v>388</v>
      </c>
      <c r="C339" s="8" t="n">
        <v>46444</v>
      </c>
      <c r="D339" s="7" t="s">
        <v>1347</v>
      </c>
      <c r="E339" s="7" t="s">
        <v>1346</v>
      </c>
      <c r="F339" s="7" t="s">
        <v>1586</v>
      </c>
      <c r="G339" s="7" t="s">
        <v>1116</v>
      </c>
      <c r="H339" s="7"/>
      <c r="I339" s="7" t="s">
        <v>1515</v>
      </c>
      <c r="J339" s="7" t="str">
        <f aca="false">IF(COUNTIF(Competitions!A:A,B339)&gt;0,"OK","BROKEN")</f>
        <v>OK</v>
      </c>
    </row>
    <row r="340" customFormat="false" ht="15" hidden="false" customHeight="false" outlineLevel="0" collapsed="false">
      <c r="A340" s="7" t="s">
        <v>1618</v>
      </c>
      <c r="B340" s="7" t="s">
        <v>388</v>
      </c>
      <c r="C340" s="8" t="n">
        <v>46444</v>
      </c>
      <c r="D340" s="7" t="s">
        <v>1040</v>
      </c>
      <c r="E340" s="7" t="s">
        <v>1061</v>
      </c>
      <c r="F340" s="7" t="s">
        <v>1586</v>
      </c>
      <c r="G340" s="7" t="s">
        <v>1116</v>
      </c>
      <c r="H340" s="7"/>
      <c r="I340" s="7" t="s">
        <v>1515</v>
      </c>
      <c r="J340" s="7" t="str">
        <f aca="false">IF(COUNTIF(Competitions!A:A,B340)&gt;0,"OK","BROKEN")</f>
        <v>OK</v>
      </c>
    </row>
    <row r="341" customFormat="false" ht="15" hidden="false" customHeight="false" outlineLevel="0" collapsed="false">
      <c r="A341" s="7" t="s">
        <v>1619</v>
      </c>
      <c r="B341" s="7" t="s">
        <v>392</v>
      </c>
      <c r="C341" s="8" t="n">
        <v>46444</v>
      </c>
      <c r="D341" s="7" t="s">
        <v>1383</v>
      </c>
      <c r="E341" s="7" t="s">
        <v>1031</v>
      </c>
      <c r="F341" s="7" t="s">
        <v>1586</v>
      </c>
      <c r="G341" s="7" t="s">
        <v>1116</v>
      </c>
      <c r="H341" s="7"/>
      <c r="I341" s="7" t="s">
        <v>1515</v>
      </c>
      <c r="J341" s="7" t="str">
        <f aca="false">IF(COUNTIF(Competitions!A:A,B341)&gt;0,"OK","BROKEN")</f>
        <v>OK</v>
      </c>
    </row>
    <row r="342" customFormat="false" ht="15" hidden="false" customHeight="false" outlineLevel="0" collapsed="false">
      <c r="A342" s="7" t="s">
        <v>1620</v>
      </c>
      <c r="B342" s="7" t="s">
        <v>392</v>
      </c>
      <c r="C342" s="8" t="n">
        <v>46444</v>
      </c>
      <c r="D342" s="7" t="s">
        <v>1055</v>
      </c>
      <c r="E342" s="7" t="s">
        <v>1159</v>
      </c>
      <c r="F342" s="7" t="s">
        <v>1586</v>
      </c>
      <c r="G342" s="7" t="s">
        <v>1116</v>
      </c>
      <c r="H342" s="7"/>
      <c r="I342" s="7" t="s">
        <v>1515</v>
      </c>
      <c r="J342" s="7" t="str">
        <f aca="false">IF(COUNTIF(Competitions!A:A,B342)&gt;0,"OK","BROKEN")</f>
        <v>OK</v>
      </c>
    </row>
    <row r="343" customFormat="false" ht="15" hidden="false" customHeight="false" outlineLevel="0" collapsed="false">
      <c r="A343" s="7" t="s">
        <v>1621</v>
      </c>
      <c r="B343" s="7" t="s">
        <v>392</v>
      </c>
      <c r="C343" s="8" t="n">
        <v>46444</v>
      </c>
      <c r="D343" s="7" t="s">
        <v>1373</v>
      </c>
      <c r="E343" s="7" t="s">
        <v>1372</v>
      </c>
      <c r="F343" s="7" t="s">
        <v>1586</v>
      </c>
      <c r="G343" s="7" t="s">
        <v>1116</v>
      </c>
      <c r="H343" s="7"/>
      <c r="I343" s="7" t="s">
        <v>1515</v>
      </c>
      <c r="J343" s="7" t="str">
        <f aca="false">IF(COUNTIF(Competitions!A:A,B343)&gt;0,"OK","BROKEN")</f>
        <v>OK</v>
      </c>
    </row>
    <row r="344" customFormat="false" ht="15" hidden="false" customHeight="false" outlineLevel="0" collapsed="false">
      <c r="A344" s="7" t="s">
        <v>1622</v>
      </c>
      <c r="B344" s="7" t="s">
        <v>384</v>
      </c>
      <c r="C344" s="8" t="n">
        <v>46444</v>
      </c>
      <c r="D344" s="7" t="s">
        <v>1177</v>
      </c>
      <c r="E344" s="7" t="s">
        <v>1050</v>
      </c>
      <c r="F344" s="7" t="s">
        <v>1586</v>
      </c>
      <c r="G344" s="7" t="s">
        <v>1116</v>
      </c>
      <c r="H344" s="7"/>
      <c r="I344" s="7" t="s">
        <v>1515</v>
      </c>
      <c r="J344" s="7" t="str">
        <f aca="false">IF(COUNTIF(Competitions!A:A,B344)&gt;0,"OK","BROKEN")</f>
        <v>OK</v>
      </c>
    </row>
    <row r="345" customFormat="false" ht="15" hidden="false" customHeight="false" outlineLevel="0" collapsed="false">
      <c r="A345" s="7" t="s">
        <v>1623</v>
      </c>
      <c r="B345" s="7" t="s">
        <v>392</v>
      </c>
      <c r="C345" s="8" t="n">
        <v>46444</v>
      </c>
      <c r="D345" s="7" t="s">
        <v>1171</v>
      </c>
      <c r="E345" s="7" t="s">
        <v>1380</v>
      </c>
      <c r="F345" s="7" t="s">
        <v>1586</v>
      </c>
      <c r="G345" s="7" t="s">
        <v>1116</v>
      </c>
      <c r="H345" s="7"/>
      <c r="I345" s="7" t="s">
        <v>1515</v>
      </c>
      <c r="J345" s="7" t="str">
        <f aca="false">IF(COUNTIF(Competitions!A:A,B345)&gt;0,"OK","BROKEN")</f>
        <v>OK</v>
      </c>
    </row>
    <row r="346" customFormat="false" ht="15" hidden="false" customHeight="false" outlineLevel="0" collapsed="false">
      <c r="A346" s="7" t="s">
        <v>1624</v>
      </c>
      <c r="B346" s="7" t="s">
        <v>449</v>
      </c>
      <c r="C346" s="8" t="n">
        <v>46446</v>
      </c>
      <c r="D346" s="7" t="s">
        <v>1076</v>
      </c>
      <c r="E346" s="7" t="s">
        <v>1058</v>
      </c>
      <c r="F346" s="7" t="s">
        <v>1583</v>
      </c>
      <c r="G346" s="7" t="s">
        <v>1116</v>
      </c>
      <c r="H346" s="7"/>
      <c r="I346" s="7" t="s">
        <v>1515</v>
      </c>
      <c r="J346" s="7" t="str">
        <f aca="false">IF(COUNTIF(Competitions!A:A,B346)&gt;0,"OK","BROKEN")</f>
        <v>OK</v>
      </c>
    </row>
    <row r="347" customFormat="false" ht="15" hidden="false" customHeight="false" outlineLevel="0" collapsed="false">
      <c r="A347" s="7" t="s">
        <v>1625</v>
      </c>
      <c r="B347" s="7" t="s">
        <v>378</v>
      </c>
      <c r="C347" s="8" t="n">
        <v>46446</v>
      </c>
      <c r="D347" s="7" t="s">
        <v>1066</v>
      </c>
      <c r="E347" s="7" t="s">
        <v>1320</v>
      </c>
      <c r="F347" s="7" t="s">
        <v>1586</v>
      </c>
      <c r="G347" s="7" t="s">
        <v>1116</v>
      </c>
      <c r="H347" s="7"/>
      <c r="I347" s="7" t="s">
        <v>1515</v>
      </c>
      <c r="J347" s="7" t="str">
        <f aca="false">IF(COUNTIF(Competitions!A:A,B347)&gt;0,"OK","BROKEN")</f>
        <v>OK</v>
      </c>
    </row>
    <row r="348" customFormat="false" ht="15" hidden="false" customHeight="false" outlineLevel="0" collapsed="false">
      <c r="A348" s="7" t="s">
        <v>1626</v>
      </c>
      <c r="B348" s="7" t="s">
        <v>378</v>
      </c>
      <c r="C348" s="8" t="n">
        <v>46446</v>
      </c>
      <c r="D348" s="7" t="s">
        <v>1305</v>
      </c>
      <c r="E348" s="7" t="s">
        <v>1349</v>
      </c>
      <c r="F348" s="7" t="s">
        <v>1586</v>
      </c>
      <c r="G348" s="7" t="s">
        <v>1116</v>
      </c>
      <c r="H348" s="7"/>
      <c r="I348" s="7" t="s">
        <v>1515</v>
      </c>
      <c r="J348" s="7" t="str">
        <f aca="false">IF(COUNTIF(Competitions!A:A,B348)&gt;0,"OK","BROKEN")</f>
        <v>OK</v>
      </c>
    </row>
    <row r="349" customFormat="false" ht="15" hidden="false" customHeight="false" outlineLevel="0" collapsed="false">
      <c r="A349" s="7" t="s">
        <v>1627</v>
      </c>
      <c r="B349" s="7" t="s">
        <v>449</v>
      </c>
      <c r="C349" s="8" t="n">
        <v>46446</v>
      </c>
      <c r="D349" s="7" t="s">
        <v>1041</v>
      </c>
      <c r="E349" s="7" t="s">
        <v>1075</v>
      </c>
      <c r="F349" s="7" t="s">
        <v>1583</v>
      </c>
      <c r="G349" s="7" t="s">
        <v>1116</v>
      </c>
      <c r="H349" s="7"/>
      <c r="I349" s="7" t="s">
        <v>1515</v>
      </c>
      <c r="J349" s="7" t="str">
        <f aca="false">IF(COUNTIF(Competitions!A:A,B349)&gt;0,"OK","BROKEN")</f>
        <v>OK</v>
      </c>
    </row>
    <row r="350" customFormat="false" ht="15" hidden="false" customHeight="false" outlineLevel="0" collapsed="false">
      <c r="A350" s="7" t="s">
        <v>1628</v>
      </c>
      <c r="B350" s="7" t="s">
        <v>378</v>
      </c>
      <c r="C350" s="8" t="n">
        <v>46446</v>
      </c>
      <c r="D350" s="7" t="s">
        <v>1350</v>
      </c>
      <c r="E350" s="7" t="s">
        <v>1023</v>
      </c>
      <c r="F350" s="7" t="s">
        <v>1586</v>
      </c>
      <c r="G350" s="7" t="s">
        <v>1116</v>
      </c>
      <c r="H350" s="7"/>
      <c r="I350" s="7" t="s">
        <v>1515</v>
      </c>
      <c r="J350" s="7" t="str">
        <f aca="false">IF(COUNTIF(Competitions!A:A,B350)&gt;0,"OK","BROKEN")</f>
        <v>OK</v>
      </c>
    </row>
    <row r="351" customFormat="false" ht="15" hidden="false" customHeight="false" outlineLevel="0" collapsed="false">
      <c r="A351" s="7" t="s">
        <v>1629</v>
      </c>
      <c r="B351" s="7" t="s">
        <v>378</v>
      </c>
      <c r="C351" s="8" t="n">
        <v>46446</v>
      </c>
      <c r="D351" s="7" t="s">
        <v>1309</v>
      </c>
      <c r="E351" s="7" t="s">
        <v>1328</v>
      </c>
      <c r="F351" s="7" t="s">
        <v>1586</v>
      </c>
      <c r="G351" s="7" t="s">
        <v>1116</v>
      </c>
      <c r="H351" s="7"/>
      <c r="I351" s="7" t="s">
        <v>1515</v>
      </c>
      <c r="J351" s="7" t="str">
        <f aca="false">IF(COUNTIF(Competitions!A:A,B351)&gt;0,"OK","BROKEN")</f>
        <v>OK</v>
      </c>
    </row>
    <row r="352" customFormat="false" ht="15" hidden="false" customHeight="false" outlineLevel="0" collapsed="false">
      <c r="A352" s="7" t="s">
        <v>1630</v>
      </c>
      <c r="B352" s="7" t="s">
        <v>378</v>
      </c>
      <c r="C352" s="8" t="n">
        <v>46446</v>
      </c>
      <c r="D352" s="7" t="s">
        <v>1329</v>
      </c>
      <c r="E352" s="7" t="s">
        <v>1324</v>
      </c>
      <c r="F352" s="7" t="s">
        <v>1586</v>
      </c>
      <c r="G352" s="7" t="s">
        <v>1116</v>
      </c>
      <c r="H352" s="7"/>
      <c r="I352" s="7" t="s">
        <v>1515</v>
      </c>
      <c r="J352" s="7" t="str">
        <f aca="false">IF(COUNTIF(Competitions!A:A,B352)&gt;0,"OK","BROKEN")</f>
        <v>OK</v>
      </c>
    </row>
    <row r="353" customFormat="false" ht="15" hidden="false" customHeight="false" outlineLevel="0" collapsed="false">
      <c r="A353" s="7" t="s">
        <v>1631</v>
      </c>
      <c r="B353" s="7" t="s">
        <v>378</v>
      </c>
      <c r="C353" s="8" t="n">
        <v>46446</v>
      </c>
      <c r="D353" s="7" t="s">
        <v>1325</v>
      </c>
      <c r="E353" s="7" t="s">
        <v>1354</v>
      </c>
      <c r="F353" s="7" t="s">
        <v>1586</v>
      </c>
      <c r="G353" s="7" t="s">
        <v>1116</v>
      </c>
      <c r="H353" s="7"/>
      <c r="I353" s="7" t="s">
        <v>1515</v>
      </c>
      <c r="J353" s="7" t="str">
        <f aca="false">IF(COUNTIF(Competitions!A:A,B353)&gt;0,"OK","BROKEN")</f>
        <v>OK</v>
      </c>
    </row>
    <row r="354" customFormat="false" ht="15" hidden="false" customHeight="false" outlineLevel="0" collapsed="false">
      <c r="A354" s="7" t="s">
        <v>1632</v>
      </c>
      <c r="B354" s="7" t="s">
        <v>384</v>
      </c>
      <c r="C354" s="8" t="n">
        <v>46446</v>
      </c>
      <c r="D354" s="7" t="s">
        <v>282</v>
      </c>
      <c r="E354" s="7" t="s">
        <v>1024</v>
      </c>
      <c r="F354" s="7" t="s">
        <v>1586</v>
      </c>
      <c r="G354" s="7" t="s">
        <v>1116</v>
      </c>
      <c r="H354" s="7"/>
      <c r="I354" s="7" t="s">
        <v>1515</v>
      </c>
      <c r="J354" s="7" t="str">
        <f aca="false">IF(COUNTIF(Competitions!A:A,B354)&gt;0,"OK","BROKEN")</f>
        <v>OK</v>
      </c>
    </row>
    <row r="355" customFormat="false" ht="15" hidden="false" customHeight="false" outlineLevel="0" collapsed="false">
      <c r="A355" s="7" t="s">
        <v>1633</v>
      </c>
      <c r="B355" s="7" t="s">
        <v>384</v>
      </c>
      <c r="C355" s="8" t="n">
        <v>46446</v>
      </c>
      <c r="D355" s="7" t="s">
        <v>1176</v>
      </c>
      <c r="E355" s="7" t="s">
        <v>1264</v>
      </c>
      <c r="F355" s="7" t="s">
        <v>1586</v>
      </c>
      <c r="G355" s="7" t="s">
        <v>1116</v>
      </c>
      <c r="H355" s="7"/>
      <c r="I355" s="7" t="s">
        <v>1515</v>
      </c>
      <c r="J355" s="7" t="str">
        <f aca="false">IF(COUNTIF(Competitions!A:A,B355)&gt;0,"OK","BROKEN")</f>
        <v>OK</v>
      </c>
    </row>
    <row r="356" customFormat="false" ht="15" hidden="false" customHeight="false" outlineLevel="0" collapsed="false">
      <c r="A356" s="7" t="s">
        <v>1634</v>
      </c>
      <c r="B356" s="7" t="s">
        <v>384</v>
      </c>
      <c r="C356" s="8" t="n">
        <v>46446</v>
      </c>
      <c r="D356" s="7" t="s">
        <v>1168</v>
      </c>
      <c r="E356" s="7" t="s">
        <v>1258</v>
      </c>
      <c r="F356" s="7" t="s">
        <v>1586</v>
      </c>
      <c r="G356" s="7" t="s">
        <v>1116</v>
      </c>
      <c r="H356" s="7"/>
      <c r="I356" s="7" t="s">
        <v>1515</v>
      </c>
      <c r="J356" s="7" t="str">
        <f aca="false">IF(COUNTIF(Competitions!A:A,B356)&gt;0,"OK","BROKEN")</f>
        <v>OK</v>
      </c>
    </row>
    <row r="357" customFormat="false" ht="15" hidden="false" customHeight="false" outlineLevel="0" collapsed="false">
      <c r="A357" s="7" t="s">
        <v>1635</v>
      </c>
      <c r="B357" s="7" t="s">
        <v>449</v>
      </c>
      <c r="C357" s="8" t="n">
        <v>46446</v>
      </c>
      <c r="D357" s="7" t="s">
        <v>1037</v>
      </c>
      <c r="E357" s="7" t="s">
        <v>1161</v>
      </c>
      <c r="F357" s="7" t="s">
        <v>1583</v>
      </c>
      <c r="G357" s="7" t="s">
        <v>1116</v>
      </c>
      <c r="H357" s="7"/>
      <c r="I357" s="7" t="s">
        <v>1515</v>
      </c>
      <c r="J357" s="7" t="str">
        <f aca="false">IF(COUNTIF(Competitions!A:A,B357)&gt;0,"OK","BROKEN")</f>
        <v>OK</v>
      </c>
    </row>
    <row r="358" customFormat="false" ht="15" hidden="false" customHeight="false" outlineLevel="0" collapsed="false">
      <c r="A358" s="7" t="s">
        <v>1636</v>
      </c>
      <c r="B358" s="7" t="s">
        <v>388</v>
      </c>
      <c r="C358" s="8" t="n">
        <v>46446</v>
      </c>
      <c r="D358" s="7" t="s">
        <v>984</v>
      </c>
      <c r="E358" s="7" t="s">
        <v>1364</v>
      </c>
      <c r="F358" s="7" t="s">
        <v>1586</v>
      </c>
      <c r="G358" s="7" t="s">
        <v>1116</v>
      </c>
      <c r="H358" s="7"/>
      <c r="I358" s="7" t="s">
        <v>1515</v>
      </c>
      <c r="J358" s="7" t="str">
        <f aca="false">IF(COUNTIF(Competitions!A:A,B358)&gt;0,"OK","BROKEN")</f>
        <v>OK</v>
      </c>
    </row>
    <row r="359" customFormat="false" ht="15" hidden="false" customHeight="false" outlineLevel="0" collapsed="false">
      <c r="A359" s="7" t="s">
        <v>1637</v>
      </c>
      <c r="B359" s="7" t="s">
        <v>388</v>
      </c>
      <c r="C359" s="8" t="n">
        <v>46446</v>
      </c>
      <c r="D359" s="7" t="s">
        <v>1069</v>
      </c>
      <c r="E359" s="7" t="s">
        <v>1366</v>
      </c>
      <c r="F359" s="7" t="s">
        <v>1586</v>
      </c>
      <c r="G359" s="7" t="s">
        <v>1116</v>
      </c>
      <c r="H359" s="7"/>
      <c r="I359" s="7" t="s">
        <v>1515</v>
      </c>
      <c r="J359" s="7" t="str">
        <f aca="false">IF(COUNTIF(Competitions!A:A,B359)&gt;0,"OK","BROKEN")</f>
        <v>OK</v>
      </c>
    </row>
    <row r="360" customFormat="false" ht="15" hidden="false" customHeight="false" outlineLevel="0" collapsed="false">
      <c r="A360" s="7" t="s">
        <v>1638</v>
      </c>
      <c r="B360" s="7" t="s">
        <v>392</v>
      </c>
      <c r="C360" s="8" t="n">
        <v>46446</v>
      </c>
      <c r="D360" s="7" t="s">
        <v>1063</v>
      </c>
      <c r="E360" s="7" t="s">
        <v>1158</v>
      </c>
      <c r="F360" s="7" t="s">
        <v>1586</v>
      </c>
      <c r="G360" s="7" t="s">
        <v>1116</v>
      </c>
      <c r="H360" s="7"/>
      <c r="I360" s="7" t="s">
        <v>1515</v>
      </c>
      <c r="J360" s="7" t="str">
        <f aca="false">IF(COUNTIF(Competitions!A:A,B360)&gt;0,"OK","BROKEN")</f>
        <v>OK</v>
      </c>
    </row>
    <row r="361" customFormat="false" ht="15" hidden="false" customHeight="false" outlineLevel="0" collapsed="false">
      <c r="A361" s="7" t="s">
        <v>1639</v>
      </c>
      <c r="B361" s="7" t="s">
        <v>392</v>
      </c>
      <c r="C361" s="8" t="n">
        <v>46446</v>
      </c>
      <c r="D361" s="7" t="s">
        <v>1025</v>
      </c>
      <c r="E361" s="7" t="s">
        <v>1341</v>
      </c>
      <c r="F361" s="7" t="s">
        <v>1586</v>
      </c>
      <c r="G361" s="7" t="s">
        <v>1116</v>
      </c>
      <c r="H361" s="7"/>
      <c r="I361" s="7" t="s">
        <v>1515</v>
      </c>
      <c r="J361" s="7" t="str">
        <f aca="false">IF(COUNTIF(Competitions!A:A,B361)&gt;0,"OK","BROKEN")</f>
        <v>OK</v>
      </c>
    </row>
    <row r="362" customFormat="false" ht="15" hidden="false" customHeight="false" outlineLevel="0" collapsed="false">
      <c r="A362" s="7" t="s">
        <v>1640</v>
      </c>
      <c r="B362" s="7" t="s">
        <v>392</v>
      </c>
      <c r="C362" s="8" t="n">
        <v>46446</v>
      </c>
      <c r="D362" s="7" t="s">
        <v>1343</v>
      </c>
      <c r="E362" s="7" t="s">
        <v>1002</v>
      </c>
      <c r="F362" s="7" t="s">
        <v>1586</v>
      </c>
      <c r="G362" s="7" t="s">
        <v>1116</v>
      </c>
      <c r="H362" s="7"/>
      <c r="I362" s="7" t="s">
        <v>1515</v>
      </c>
      <c r="J362" s="7" t="str">
        <f aca="false">IF(COUNTIF(Competitions!A:A,B362)&gt;0,"OK","BROKEN")</f>
        <v>OK</v>
      </c>
    </row>
    <row r="363" customFormat="false" ht="15" hidden="false" customHeight="false" outlineLevel="0" collapsed="false">
      <c r="A363" s="7" t="s">
        <v>1641</v>
      </c>
      <c r="B363" s="7" t="s">
        <v>392</v>
      </c>
      <c r="C363" s="8" t="n">
        <v>46446</v>
      </c>
      <c r="D363" s="7" t="s">
        <v>1044</v>
      </c>
      <c r="E363" s="7" t="s">
        <v>1059</v>
      </c>
      <c r="F363" s="7" t="s">
        <v>1586</v>
      </c>
      <c r="G363" s="7" t="s">
        <v>1116</v>
      </c>
      <c r="H363" s="7"/>
      <c r="I363" s="7" t="s">
        <v>1515</v>
      </c>
      <c r="J363" s="7" t="str">
        <f aca="false">IF(COUNTIF(Competitions!A:A,B363)&gt;0,"OK","BROKEN")</f>
        <v>OK</v>
      </c>
    </row>
    <row r="364" customFormat="false" ht="15" hidden="false" customHeight="false" outlineLevel="0" collapsed="false">
      <c r="A364" s="7" t="s">
        <v>1642</v>
      </c>
      <c r="B364" s="7" t="s">
        <v>392</v>
      </c>
      <c r="C364" s="8" t="n">
        <v>46446</v>
      </c>
      <c r="D364" s="7" t="s">
        <v>1062</v>
      </c>
      <c r="E364" s="7" t="s">
        <v>1153</v>
      </c>
      <c r="F364" s="7" t="s">
        <v>1586</v>
      </c>
      <c r="G364" s="7" t="s">
        <v>1116</v>
      </c>
      <c r="H364" s="7"/>
      <c r="I364" s="7" t="s">
        <v>1515</v>
      </c>
      <c r="J364" s="7" t="str">
        <f aca="false">IF(COUNTIF(Competitions!A:A,B364)&gt;0,"OK","BROKEN")</f>
        <v>OK</v>
      </c>
    </row>
    <row r="365" customFormat="false" ht="15" hidden="false" customHeight="false" outlineLevel="0" collapsed="false">
      <c r="A365" s="7" t="s">
        <v>1643</v>
      </c>
      <c r="B365" s="7" t="s">
        <v>392</v>
      </c>
      <c r="C365" s="8" t="n">
        <v>46446</v>
      </c>
      <c r="D365" s="7" t="s">
        <v>1333</v>
      </c>
      <c r="E365" s="7" t="s">
        <v>1036</v>
      </c>
      <c r="F365" s="7" t="s">
        <v>1586</v>
      </c>
      <c r="G365" s="7" t="s">
        <v>1116</v>
      </c>
      <c r="H365" s="7"/>
      <c r="I365" s="7" t="s">
        <v>1515</v>
      </c>
      <c r="J365" s="7" t="str">
        <f aca="false">IF(COUNTIF(Competitions!A:A,B365)&gt;0,"OK","BROKEN")</f>
        <v>OK</v>
      </c>
    </row>
    <row r="366" customFormat="false" ht="15" hidden="false" customHeight="false" outlineLevel="0" collapsed="false">
      <c r="A366" s="7" t="s">
        <v>1644</v>
      </c>
      <c r="B366" s="7" t="s">
        <v>388</v>
      </c>
      <c r="C366" s="8" t="n">
        <v>46446</v>
      </c>
      <c r="D366" s="7" t="s">
        <v>987</v>
      </c>
      <c r="E366" s="7" t="s">
        <v>1369</v>
      </c>
      <c r="F366" s="7" t="s">
        <v>1586</v>
      </c>
      <c r="G366" s="7" t="s">
        <v>1116</v>
      </c>
      <c r="H366" s="7"/>
      <c r="I366" s="7" t="s">
        <v>1515</v>
      </c>
      <c r="J366" s="7" t="str">
        <f aca="false">IF(COUNTIF(Competitions!A:A,B366)&gt;0,"OK","BROKEN")</f>
        <v>OK</v>
      </c>
    </row>
    <row r="367" customFormat="false" ht="15" hidden="false" customHeight="false" outlineLevel="0" collapsed="false">
      <c r="A367" s="7" t="s">
        <v>1645</v>
      </c>
      <c r="B367" s="7" t="s">
        <v>449</v>
      </c>
      <c r="C367" s="8" t="n">
        <v>46446</v>
      </c>
      <c r="D367" s="7" t="s">
        <v>1033</v>
      </c>
      <c r="E367" s="7" t="s">
        <v>1395</v>
      </c>
      <c r="F367" s="7" t="s">
        <v>1583</v>
      </c>
      <c r="G367" s="7" t="s">
        <v>1116</v>
      </c>
      <c r="H367" s="7"/>
      <c r="I367" s="7" t="s">
        <v>1515</v>
      </c>
      <c r="J367" s="7" t="str">
        <f aca="false">IF(COUNTIF(Competitions!A:A,B367)&gt;0,"OK","BROKEN")</f>
        <v>OK</v>
      </c>
    </row>
    <row r="368" customFormat="false" ht="15" hidden="false" customHeight="false" outlineLevel="0" collapsed="false">
      <c r="A368" s="7" t="s">
        <v>1646</v>
      </c>
      <c r="B368" s="7" t="s">
        <v>392</v>
      </c>
      <c r="C368" s="8" t="n">
        <v>46447</v>
      </c>
      <c r="D368" s="7" t="s">
        <v>1057</v>
      </c>
      <c r="E368" s="7" t="s">
        <v>1171</v>
      </c>
      <c r="F368" s="7" t="s">
        <v>1586</v>
      </c>
      <c r="G368" s="7" t="s">
        <v>1116</v>
      </c>
      <c r="H368" s="7"/>
      <c r="I368" s="7" t="s">
        <v>1515</v>
      </c>
      <c r="J368" s="7" t="str">
        <f aca="false">IF(COUNTIF(Competitions!A:A,B368)&gt;0,"OK","BROKEN")</f>
        <v>OK</v>
      </c>
    </row>
    <row r="369" customFormat="false" ht="15" hidden="false" customHeight="false" outlineLevel="0" collapsed="false">
      <c r="A369" s="7" t="s">
        <v>1647</v>
      </c>
      <c r="B369" s="7" t="s">
        <v>392</v>
      </c>
      <c r="C369" s="8" t="n">
        <v>46447</v>
      </c>
      <c r="D369" s="7" t="s">
        <v>1376</v>
      </c>
      <c r="E369" s="7" t="s">
        <v>1378</v>
      </c>
      <c r="F369" s="7" t="s">
        <v>1586</v>
      </c>
      <c r="G369" s="7" t="s">
        <v>1116</v>
      </c>
      <c r="H369" s="7"/>
      <c r="I369" s="7" t="s">
        <v>1515</v>
      </c>
      <c r="J369" s="7" t="str">
        <f aca="false">IF(COUNTIF(Competitions!A:A,B369)&gt;0,"OK","BROKEN")</f>
        <v>OK</v>
      </c>
    </row>
    <row r="370" customFormat="false" ht="15" hidden="false" customHeight="false" outlineLevel="0" collapsed="false">
      <c r="A370" s="7" t="s">
        <v>1648</v>
      </c>
      <c r="B370" s="7" t="s">
        <v>384</v>
      </c>
      <c r="C370" s="8" t="n">
        <v>46447</v>
      </c>
      <c r="D370" s="7" t="s">
        <v>1358</v>
      </c>
      <c r="E370" s="7" t="s">
        <v>1050</v>
      </c>
      <c r="F370" s="7" t="s">
        <v>1586</v>
      </c>
      <c r="G370" s="7" t="s">
        <v>1116</v>
      </c>
      <c r="H370" s="7"/>
      <c r="I370" s="7" t="s">
        <v>1515</v>
      </c>
      <c r="J370" s="7" t="str">
        <f aca="false">IF(COUNTIF(Competitions!A:A,B370)&gt;0,"OK","BROKEN")</f>
        <v>OK</v>
      </c>
    </row>
    <row r="371" customFormat="false" ht="15" hidden="false" customHeight="false" outlineLevel="0" collapsed="false">
      <c r="A371" s="7" t="s">
        <v>1649</v>
      </c>
      <c r="B371" s="7" t="s">
        <v>384</v>
      </c>
      <c r="C371" s="8" t="n">
        <v>46447</v>
      </c>
      <c r="D371" s="7" t="s">
        <v>1177</v>
      </c>
      <c r="E371" s="7" t="s">
        <v>1362</v>
      </c>
      <c r="F371" s="7" t="s">
        <v>1586</v>
      </c>
      <c r="G371" s="7" t="s">
        <v>1116</v>
      </c>
      <c r="H371" s="7"/>
      <c r="I371" s="7" t="s">
        <v>1515</v>
      </c>
      <c r="J371" s="7" t="str">
        <f aca="false">IF(COUNTIF(Competitions!A:A,B371)&gt;0,"OK","BROKEN")</f>
        <v>OK</v>
      </c>
    </row>
    <row r="372" customFormat="false" ht="15" hidden="false" customHeight="false" outlineLevel="0" collapsed="false">
      <c r="A372" s="7" t="s">
        <v>1650</v>
      </c>
      <c r="B372" s="7" t="s">
        <v>388</v>
      </c>
      <c r="C372" s="8" t="n">
        <v>46447</v>
      </c>
      <c r="D372" s="7" t="s">
        <v>1038</v>
      </c>
      <c r="E372" s="7" t="s">
        <v>1346</v>
      </c>
      <c r="F372" s="7" t="s">
        <v>1586</v>
      </c>
      <c r="G372" s="7" t="s">
        <v>1116</v>
      </c>
      <c r="H372" s="7"/>
      <c r="I372" s="7" t="s">
        <v>1515</v>
      </c>
      <c r="J372" s="7" t="str">
        <f aca="false">IF(COUNTIF(Competitions!A:A,B372)&gt;0,"OK","BROKEN")</f>
        <v>OK</v>
      </c>
    </row>
    <row r="373" customFormat="false" ht="15" hidden="false" customHeight="false" outlineLevel="0" collapsed="false">
      <c r="A373" s="7" t="s">
        <v>1651</v>
      </c>
      <c r="B373" s="7" t="s">
        <v>388</v>
      </c>
      <c r="C373" s="8" t="n">
        <v>46447</v>
      </c>
      <c r="D373" s="7" t="s">
        <v>1347</v>
      </c>
      <c r="E373" s="7" t="s">
        <v>1061</v>
      </c>
      <c r="F373" s="7" t="s">
        <v>1586</v>
      </c>
      <c r="G373" s="7" t="s">
        <v>1116</v>
      </c>
      <c r="H373" s="7"/>
      <c r="I373" s="7" t="s">
        <v>1515</v>
      </c>
      <c r="J373" s="7" t="str">
        <f aca="false">IF(COUNTIF(Competitions!A:A,B373)&gt;0,"OK","BROKEN")</f>
        <v>OK</v>
      </c>
    </row>
    <row r="374" customFormat="false" ht="15" hidden="false" customHeight="false" outlineLevel="0" collapsed="false">
      <c r="A374" s="7" t="s">
        <v>1652</v>
      </c>
      <c r="B374" s="7" t="s">
        <v>388</v>
      </c>
      <c r="C374" s="8" t="n">
        <v>46447</v>
      </c>
      <c r="D374" s="7" t="s">
        <v>1040</v>
      </c>
      <c r="E374" s="7" t="s">
        <v>1072</v>
      </c>
      <c r="F374" s="7" t="s">
        <v>1586</v>
      </c>
      <c r="G374" s="7" t="s">
        <v>1116</v>
      </c>
      <c r="H374" s="7"/>
      <c r="I374" s="7" t="s">
        <v>1515</v>
      </c>
      <c r="J374" s="7" t="str">
        <f aca="false">IF(COUNTIF(Competitions!A:A,B374)&gt;0,"OK","BROKEN")</f>
        <v>OK</v>
      </c>
    </row>
    <row r="375" customFormat="false" ht="15" hidden="false" customHeight="false" outlineLevel="0" collapsed="false">
      <c r="A375" s="7" t="s">
        <v>1653</v>
      </c>
      <c r="B375" s="7" t="s">
        <v>392</v>
      </c>
      <c r="C375" s="8" t="n">
        <v>46447</v>
      </c>
      <c r="D375" s="7" t="s">
        <v>1031</v>
      </c>
      <c r="E375" s="7" t="s">
        <v>1373</v>
      </c>
      <c r="F375" s="7" t="s">
        <v>1586</v>
      </c>
      <c r="G375" s="7" t="s">
        <v>1116</v>
      </c>
      <c r="H375" s="7"/>
      <c r="I375" s="7" t="s">
        <v>1515</v>
      </c>
      <c r="J375" s="7" t="str">
        <f aca="false">IF(COUNTIF(Competitions!A:A,B375)&gt;0,"OK","BROKEN")</f>
        <v>OK</v>
      </c>
    </row>
    <row r="376" customFormat="false" ht="15" hidden="false" customHeight="false" outlineLevel="0" collapsed="false">
      <c r="A376" s="7" t="s">
        <v>1654</v>
      </c>
      <c r="B376" s="7" t="s">
        <v>392</v>
      </c>
      <c r="C376" s="8" t="n">
        <v>46447</v>
      </c>
      <c r="D376" s="7" t="s">
        <v>1159</v>
      </c>
      <c r="E376" s="7" t="s">
        <v>1383</v>
      </c>
      <c r="F376" s="7" t="s">
        <v>1586</v>
      </c>
      <c r="G376" s="7" t="s">
        <v>1116</v>
      </c>
      <c r="H376" s="7"/>
      <c r="I376" s="7" t="s">
        <v>1515</v>
      </c>
      <c r="J376" s="7" t="str">
        <f aca="false">IF(COUNTIF(Competitions!A:A,B376)&gt;0,"OK","BROKEN")</f>
        <v>OK</v>
      </c>
    </row>
    <row r="377" customFormat="false" ht="15" hidden="false" customHeight="false" outlineLevel="0" collapsed="false">
      <c r="A377" s="7" t="s">
        <v>1655</v>
      </c>
      <c r="B377" s="7" t="s">
        <v>392</v>
      </c>
      <c r="C377" s="8" t="n">
        <v>46447</v>
      </c>
      <c r="D377" s="7" t="s">
        <v>1372</v>
      </c>
      <c r="E377" s="7" t="s">
        <v>1055</v>
      </c>
      <c r="F377" s="7" t="s">
        <v>1586</v>
      </c>
      <c r="G377" s="7" t="s">
        <v>1116</v>
      </c>
      <c r="H377" s="7"/>
      <c r="I377" s="7" t="s">
        <v>1515</v>
      </c>
      <c r="J377" s="7" t="str">
        <f aca="false">IF(COUNTIF(Competitions!A:A,B377)&gt;0,"OK","BROKEN")</f>
        <v>OK</v>
      </c>
    </row>
    <row r="378" customFormat="false" ht="15" hidden="false" customHeight="false" outlineLevel="0" collapsed="false">
      <c r="A378" s="7" t="s">
        <v>1656</v>
      </c>
      <c r="B378" s="7" t="s">
        <v>392</v>
      </c>
      <c r="C378" s="8" t="n">
        <v>46447</v>
      </c>
      <c r="D378" s="7" t="s">
        <v>1380</v>
      </c>
      <c r="E378" s="7" t="s">
        <v>1022</v>
      </c>
      <c r="F378" s="7" t="s">
        <v>1586</v>
      </c>
      <c r="G378" s="7" t="s">
        <v>1116</v>
      </c>
      <c r="H378" s="7"/>
      <c r="I378" s="7" t="s">
        <v>1515</v>
      </c>
      <c r="J378" s="7" t="str">
        <f aca="false">IF(COUNTIF(Competitions!A:A,B378)&gt;0,"OK","BROKEN")</f>
        <v>OK</v>
      </c>
    </row>
    <row r="379" customFormat="false" ht="15" hidden="false" customHeight="false" outlineLevel="0" collapsed="false">
      <c r="A379" s="7" t="s">
        <v>1657</v>
      </c>
      <c r="B379" s="7" t="s">
        <v>384</v>
      </c>
      <c r="C379" s="8" t="n">
        <v>46447</v>
      </c>
      <c r="D379" s="7" t="s">
        <v>1034</v>
      </c>
      <c r="E379" s="7" t="s">
        <v>1262</v>
      </c>
      <c r="F379" s="7" t="s">
        <v>1586</v>
      </c>
      <c r="G379" s="7" t="s">
        <v>1116</v>
      </c>
      <c r="H379" s="7"/>
      <c r="I379" s="7" t="s">
        <v>1515</v>
      </c>
      <c r="J379" s="7" t="str">
        <f aca="false">IF(COUNTIF(Competitions!A:A,B379)&gt;0,"OK","BROKEN")</f>
        <v>OK</v>
      </c>
    </row>
    <row r="380" customFormat="false" ht="15" hidden="false" customHeight="false" outlineLevel="0" collapsed="false">
      <c r="A380" s="7" t="s">
        <v>1658</v>
      </c>
      <c r="B380" s="7" t="s">
        <v>440</v>
      </c>
      <c r="C380" s="8" t="n">
        <v>46554</v>
      </c>
      <c r="D380" s="7"/>
      <c r="E380" s="7"/>
      <c r="F380" s="7" t="s">
        <v>1302</v>
      </c>
      <c r="G380" s="7" t="s">
        <v>1303</v>
      </c>
      <c r="H380" s="7"/>
      <c r="I380" s="7"/>
      <c r="J380" s="7" t="str">
        <f aca="false">IF(COUNTIF(Competitions!A:A,B380)&gt;0,"OK","BROKEN")</f>
        <v>OK</v>
      </c>
    </row>
    <row r="381" customFormat="false" ht="15" hidden="false" customHeight="false" outlineLevel="0" collapsed="false">
      <c r="A381" s="7" t="s">
        <v>1659</v>
      </c>
      <c r="B381" s="7" t="s">
        <v>419</v>
      </c>
      <c r="C381" s="8" t="n">
        <v>46564</v>
      </c>
      <c r="D381" s="7"/>
      <c r="E381" s="7"/>
      <c r="F381" s="7" t="s">
        <v>1302</v>
      </c>
      <c r="G381" s="7" t="s">
        <v>1303</v>
      </c>
      <c r="H381" s="7"/>
      <c r="I381" s="7"/>
      <c r="J381" s="7" t="str">
        <f aca="false">IF(COUNTIF(Competitions!A:A,B381)&gt;0,"OK","BROKEN")</f>
        <v>OK</v>
      </c>
    </row>
    <row r="382" customFormat="false" ht="15" hidden="false" customHeight="false" outlineLevel="0" collapsed="false">
      <c r="A382" s="7" t="s">
        <v>1660</v>
      </c>
      <c r="B382" s="7" t="s">
        <v>397</v>
      </c>
      <c r="C382" s="8" t="n">
        <v>46579</v>
      </c>
      <c r="D382" s="7"/>
      <c r="E382" s="7"/>
      <c r="F382" s="7" t="s">
        <v>1302</v>
      </c>
      <c r="G382" s="7" t="s">
        <v>1303</v>
      </c>
      <c r="H382" s="7"/>
      <c r="I382" s="7"/>
      <c r="J382" s="7" t="str">
        <f aca="false">IF(COUNTIF(Competitions!A:A,B382)&gt;0,"OK","BROKEN")</f>
        <v>OK</v>
      </c>
    </row>
    <row r="383" customFormat="false" ht="15" hidden="false" customHeight="false" outlineLevel="0" collapsed="false">
      <c r="A383" s="7" t="s">
        <v>1661</v>
      </c>
      <c r="B383" s="7" t="s">
        <v>402</v>
      </c>
      <c r="C383" s="8" t="n">
        <v>46579</v>
      </c>
      <c r="D383" s="7"/>
      <c r="E383" s="7"/>
      <c r="F383" s="7" t="s">
        <v>1302</v>
      </c>
      <c r="G383" s="7" t="s">
        <v>1303</v>
      </c>
      <c r="H383" s="7"/>
      <c r="I383" s="7"/>
      <c r="J383" s="7" t="str">
        <f aca="false">IF(COUNTIF(Competitions!A:A,B383)&gt;0,"OK","BROKEN")</f>
        <v>OK</v>
      </c>
    </row>
    <row r="384" customFormat="false" ht="15" hidden="false" customHeight="false" outlineLevel="0" collapsed="false">
      <c r="A384" s="7" t="s">
        <v>1662</v>
      </c>
      <c r="B384" s="7" t="s">
        <v>412</v>
      </c>
      <c r="C384" s="8" t="n">
        <v>46593</v>
      </c>
      <c r="D384" s="7"/>
      <c r="E384" s="7"/>
      <c r="F384" s="7" t="s">
        <v>1302</v>
      </c>
      <c r="G384" s="7" t="s">
        <v>1303</v>
      </c>
      <c r="H384" s="7"/>
      <c r="I384" s="7"/>
      <c r="J384" s="7" t="str">
        <f aca="false">IF(COUNTIF(Competitions!A:A,B384)&gt;0,"OK","BROKEN")</f>
        <v>OK</v>
      </c>
    </row>
    <row r="385" customFormat="false" ht="15" hidden="false" customHeight="false" outlineLevel="0" collapsed="false">
      <c r="A385" s="7" t="s">
        <v>1663</v>
      </c>
      <c r="B385" s="7" t="s">
        <v>482</v>
      </c>
      <c r="C385" s="8" t="n">
        <v>46613</v>
      </c>
      <c r="D385" s="7"/>
      <c r="E385" s="7"/>
      <c r="F385" s="7" t="s">
        <v>1302</v>
      </c>
      <c r="G385" s="7" t="s">
        <v>1303</v>
      </c>
      <c r="H385" s="7"/>
      <c r="I385" s="7"/>
      <c r="J385" s="7" t="str">
        <f aca="false">IF(COUNTIF(Competitions!A:A,B385)&gt;0,"OK","BROKEN")</f>
        <v>OK</v>
      </c>
    </row>
    <row r="386" customFormat="false" ht="15" hidden="false" customHeight="false" outlineLevel="0" collapsed="false">
      <c r="A386" s="7" t="s">
        <v>1664</v>
      </c>
      <c r="B386" s="7" t="s">
        <v>452</v>
      </c>
      <c r="C386" s="8" t="n">
        <v>46616</v>
      </c>
      <c r="D386" s="7"/>
      <c r="E386" s="7"/>
      <c r="F386" s="7" t="s">
        <v>1302</v>
      </c>
      <c r="G386" s="7" t="s">
        <v>1303</v>
      </c>
      <c r="H386" s="7"/>
      <c r="I386" s="7"/>
      <c r="J386" s="7" t="str">
        <f aca="false">IF(COUNTIF(Competitions!A:A,B386)&gt;0,"OK","BROKEN")</f>
        <v>OK</v>
      </c>
    </row>
    <row r="387" customFormat="false" ht="15" hidden="false" customHeight="false" outlineLevel="0" collapsed="false">
      <c r="A387" s="7" t="s">
        <v>1665</v>
      </c>
      <c r="B387" s="7" t="s">
        <v>461</v>
      </c>
      <c r="C387" s="8" t="n">
        <v>46616</v>
      </c>
      <c r="D387" s="7"/>
      <c r="E387" s="7"/>
      <c r="F387" s="7" t="s">
        <v>1302</v>
      </c>
      <c r="G387" s="7" t="s">
        <v>1303</v>
      </c>
      <c r="H387" s="7"/>
      <c r="I387" s="7"/>
      <c r="J387" s="7" t="str">
        <f aca="false">IF(COUNTIF(Competitions!A:A,B387)&gt;0,"OK","BROKEN")</f>
        <v>OK</v>
      </c>
    </row>
    <row r="388" customFormat="false" ht="15" hidden="false" customHeight="false" outlineLevel="0" collapsed="false">
      <c r="A388" s="7" t="s">
        <v>1666</v>
      </c>
      <c r="B388" s="7" t="s">
        <v>458</v>
      </c>
      <c r="C388" s="8" t="n">
        <v>46616</v>
      </c>
      <c r="D388" s="7"/>
      <c r="E388" s="7"/>
      <c r="F388" s="7" t="s">
        <v>1302</v>
      </c>
      <c r="G388" s="7" t="s">
        <v>1303</v>
      </c>
      <c r="H388" s="7"/>
      <c r="I388" s="7"/>
      <c r="J388" s="7" t="str">
        <f aca="false">IF(COUNTIF(Competitions!A:A,B388)&gt;0,"OK","BROKEN")</f>
        <v>OK</v>
      </c>
    </row>
    <row r="389" customFormat="false" ht="15" hidden="false" customHeight="false" outlineLevel="0" collapsed="false">
      <c r="A389" s="7" t="s">
        <v>1667</v>
      </c>
      <c r="B389" s="7" t="s">
        <v>372</v>
      </c>
      <c r="C389" s="8" t="n">
        <v>46626</v>
      </c>
      <c r="D389" s="7"/>
      <c r="E389" s="7"/>
      <c r="F389" s="7" t="s">
        <v>1302</v>
      </c>
      <c r="G389" s="7" t="s">
        <v>1303</v>
      </c>
      <c r="H389" s="7"/>
      <c r="I389" s="7"/>
      <c r="J389" s="7" t="str">
        <f aca="false">IF(COUNTIF(Competitions!A:A,B389)&gt;0,"OK","BROKEN")</f>
        <v>OK</v>
      </c>
    </row>
    <row r="390" customFormat="false" ht="15" hidden="false" customHeight="false" outlineLevel="0" collapsed="false">
      <c r="A390" s="7" t="s">
        <v>1668</v>
      </c>
      <c r="B390" s="7" t="s">
        <v>406</v>
      </c>
      <c r="C390" s="8" t="n">
        <v>46692</v>
      </c>
      <c r="D390" s="7"/>
      <c r="E390" s="7"/>
      <c r="F390" s="7" t="s">
        <v>1302</v>
      </c>
      <c r="G390" s="7" t="s">
        <v>1303</v>
      </c>
      <c r="H390" s="7"/>
      <c r="I390" s="7"/>
      <c r="J390" s="7" t="str">
        <f aca="false">IF(COUNTIF(Competitions!A:A,B390)&gt;0,"OK","BROKEN")</f>
        <v>OK</v>
      </c>
    </row>
    <row r="391" customFormat="false" ht="15" hidden="false" customHeight="false" outlineLevel="0" collapsed="false">
      <c r="A391" s="7" t="s">
        <v>1669</v>
      </c>
      <c r="B391" s="7" t="s">
        <v>425</v>
      </c>
      <c r="C391" s="8" t="n">
        <v>46793</v>
      </c>
      <c r="D391" s="7"/>
      <c r="E391" s="7"/>
      <c r="F391" s="7" t="s">
        <v>1302</v>
      </c>
      <c r="G391" s="7" t="s">
        <v>1303</v>
      </c>
      <c r="H391" s="7"/>
      <c r="I391" s="7"/>
      <c r="J391" s="7" t="str">
        <f aca="false">IF(COUNTIF(Competitions!A:A,B391)&gt;0,"OK","BROKEN")</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2026-08-02T04:15:17Z</dcterms:created>
  <dc:creator>openpyxl</dc:creator>
  <dc:description/>
  <dc:language>en-US</dc:language>
  <cp:lastModifiedBy/>
  <dcterms:modified xsi:type="dcterms:W3CDTF">2026-08-02T04:15:17Z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